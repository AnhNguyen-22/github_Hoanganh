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 Anh\Downloads\NguyenThiHoangAnh_K234161818_BIM4014\"/>
    </mc:Choice>
  </mc:AlternateContent>
  <xr:revisionPtr revIDLastSave="0" documentId="13_ncr:1_{11D95D16-D866-4BF7-98B5-6076FCFF953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Y1003" i="1" l="1"/>
  <c r="Y1004" i="1" s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K4" i="1"/>
  <c r="R2" i="1" s="1" a="1"/>
  <c r="R2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" i="1"/>
  <c r="R16" i="1" s="1" a="1"/>
  <c r="R16" i="1" s="1"/>
  <c r="L3" i="1"/>
  <c r="R20" i="1" l="1"/>
  <c r="R19" i="1"/>
  <c r="R18" i="1"/>
  <c r="R17" i="1"/>
  <c r="V4" i="1"/>
  <c r="T4" i="1"/>
  <c r="S4" i="1"/>
  <c r="R4" i="1"/>
  <c r="V3" i="1"/>
  <c r="V6" i="1"/>
  <c r="U3" i="1"/>
  <c r="U6" i="1"/>
  <c r="T3" i="1"/>
  <c r="U4" i="1"/>
  <c r="T6" i="1"/>
  <c r="S3" i="1"/>
  <c r="R5" i="1"/>
  <c r="R3" i="1"/>
  <c r="S6" i="1"/>
  <c r="R6" i="1"/>
  <c r="V2" i="1"/>
  <c r="U2" i="1"/>
  <c r="T2" i="1"/>
  <c r="T5" i="1"/>
  <c r="S2" i="1"/>
  <c r="R9" i="1" s="1" a="1"/>
  <c r="V5" i="1"/>
  <c r="U5" i="1"/>
  <c r="S5" i="1"/>
  <c r="R9" i="1" l="1"/>
  <c r="S11" i="1"/>
  <c r="T11" i="1"/>
  <c r="U11" i="1"/>
  <c r="V11" i="1"/>
  <c r="R12" i="1"/>
  <c r="T12" i="1"/>
  <c r="U12" i="1"/>
  <c r="V12" i="1"/>
  <c r="S9" i="1"/>
  <c r="R13" i="1"/>
  <c r="T9" i="1"/>
  <c r="S13" i="1"/>
  <c r="R10" i="1"/>
  <c r="T13" i="1"/>
  <c r="S10" i="1"/>
  <c r="U13" i="1"/>
  <c r="U10" i="1"/>
  <c r="T10" i="1"/>
  <c r="V13" i="1"/>
  <c r="V10" i="1"/>
  <c r="R11" i="1"/>
  <c r="V9" i="1"/>
  <c r="U9" i="1"/>
  <c r="S12" i="1"/>
  <c r="U16" i="1" l="1" a="1"/>
  <c r="U16" i="1" l="1"/>
  <c r="U17" i="1"/>
  <c r="U18" i="1"/>
  <c r="U20" i="1"/>
  <c r="U19" i="1"/>
  <c r="X10" i="1" l="1"/>
  <c r="Y10" i="1" s="1"/>
  <c r="X26" i="1"/>
  <c r="Y26" i="1" s="1"/>
  <c r="X42" i="1"/>
  <c r="Y42" i="1" s="1"/>
  <c r="X58" i="1"/>
  <c r="Y58" i="1" s="1"/>
  <c r="X74" i="1"/>
  <c r="Y74" i="1" s="1"/>
  <c r="X90" i="1"/>
  <c r="Y90" i="1" s="1"/>
  <c r="X106" i="1"/>
  <c r="Y106" i="1" s="1"/>
  <c r="X122" i="1"/>
  <c r="Y122" i="1" s="1"/>
  <c r="X138" i="1"/>
  <c r="Y138" i="1" s="1"/>
  <c r="X154" i="1"/>
  <c r="Y154" i="1" s="1"/>
  <c r="X170" i="1"/>
  <c r="Y170" i="1" s="1"/>
  <c r="X186" i="1"/>
  <c r="Y186" i="1" s="1"/>
  <c r="X202" i="1"/>
  <c r="Y202" i="1" s="1"/>
  <c r="X218" i="1"/>
  <c r="Y218" i="1" s="1"/>
  <c r="X234" i="1"/>
  <c r="Y234" i="1" s="1"/>
  <c r="X250" i="1"/>
  <c r="Y250" i="1" s="1"/>
  <c r="X266" i="1"/>
  <c r="Y266" i="1" s="1"/>
  <c r="X282" i="1"/>
  <c r="Y282" i="1" s="1"/>
  <c r="X298" i="1"/>
  <c r="Y298" i="1" s="1"/>
  <c r="X314" i="1"/>
  <c r="Y314" i="1" s="1"/>
  <c r="X330" i="1"/>
  <c r="Y330" i="1" s="1"/>
  <c r="X346" i="1"/>
  <c r="Y346" i="1" s="1"/>
  <c r="X11" i="1"/>
  <c r="Y11" i="1" s="1"/>
  <c r="X27" i="1"/>
  <c r="Y27" i="1" s="1"/>
  <c r="X43" i="1"/>
  <c r="Y43" i="1" s="1"/>
  <c r="X59" i="1"/>
  <c r="Y59" i="1" s="1"/>
  <c r="X75" i="1"/>
  <c r="Y75" i="1" s="1"/>
  <c r="X91" i="1"/>
  <c r="Y91" i="1" s="1"/>
  <c r="X107" i="1"/>
  <c r="Y107" i="1" s="1"/>
  <c r="X123" i="1"/>
  <c r="Y123" i="1" s="1"/>
  <c r="X139" i="1"/>
  <c r="Y139" i="1" s="1"/>
  <c r="X155" i="1"/>
  <c r="Y155" i="1" s="1"/>
  <c r="X171" i="1"/>
  <c r="Y171" i="1" s="1"/>
  <c r="X187" i="1"/>
  <c r="Y187" i="1" s="1"/>
  <c r="X203" i="1"/>
  <c r="Y203" i="1" s="1"/>
  <c r="X219" i="1"/>
  <c r="Y219" i="1" s="1"/>
  <c r="X235" i="1"/>
  <c r="Y235" i="1" s="1"/>
  <c r="X251" i="1"/>
  <c r="Y251" i="1" s="1"/>
  <c r="X267" i="1"/>
  <c r="Y267" i="1" s="1"/>
  <c r="X283" i="1"/>
  <c r="Y283" i="1" s="1"/>
  <c r="X299" i="1"/>
  <c r="Y299" i="1" s="1"/>
  <c r="X315" i="1"/>
  <c r="Y315" i="1" s="1"/>
  <c r="X331" i="1"/>
  <c r="Y331" i="1" s="1"/>
  <c r="X347" i="1"/>
  <c r="Y347" i="1" s="1"/>
  <c r="X12" i="1"/>
  <c r="Y12" i="1" s="1"/>
  <c r="X28" i="1"/>
  <c r="Y28" i="1" s="1"/>
  <c r="X44" i="1"/>
  <c r="Y44" i="1" s="1"/>
  <c r="X60" i="1"/>
  <c r="Y60" i="1" s="1"/>
  <c r="X76" i="1"/>
  <c r="Y76" i="1" s="1"/>
  <c r="X92" i="1"/>
  <c r="Y92" i="1" s="1"/>
  <c r="X108" i="1"/>
  <c r="Y108" i="1" s="1"/>
  <c r="X124" i="1"/>
  <c r="Y124" i="1" s="1"/>
  <c r="X140" i="1"/>
  <c r="Y140" i="1" s="1"/>
  <c r="X156" i="1"/>
  <c r="Y156" i="1" s="1"/>
  <c r="X172" i="1"/>
  <c r="Y172" i="1" s="1"/>
  <c r="X188" i="1"/>
  <c r="Y188" i="1" s="1"/>
  <c r="X204" i="1"/>
  <c r="Y204" i="1" s="1"/>
  <c r="X220" i="1"/>
  <c r="Y220" i="1" s="1"/>
  <c r="X236" i="1"/>
  <c r="Y236" i="1" s="1"/>
  <c r="X252" i="1"/>
  <c r="Y252" i="1" s="1"/>
  <c r="X268" i="1"/>
  <c r="Y268" i="1" s="1"/>
  <c r="X284" i="1"/>
  <c r="Y284" i="1" s="1"/>
  <c r="X300" i="1"/>
  <c r="Y300" i="1" s="1"/>
  <c r="X316" i="1"/>
  <c r="Y316" i="1" s="1"/>
  <c r="X332" i="1"/>
  <c r="Y332" i="1" s="1"/>
  <c r="X348" i="1"/>
  <c r="Y348" i="1" s="1"/>
  <c r="X13" i="1"/>
  <c r="Y13" i="1" s="1"/>
  <c r="X29" i="1"/>
  <c r="Y29" i="1" s="1"/>
  <c r="X45" i="1"/>
  <c r="Y45" i="1" s="1"/>
  <c r="X61" i="1"/>
  <c r="Y61" i="1" s="1"/>
  <c r="X77" i="1"/>
  <c r="Y77" i="1" s="1"/>
  <c r="X93" i="1"/>
  <c r="Y93" i="1" s="1"/>
  <c r="X109" i="1"/>
  <c r="Y109" i="1" s="1"/>
  <c r="X125" i="1"/>
  <c r="Y125" i="1" s="1"/>
  <c r="X141" i="1"/>
  <c r="Y141" i="1" s="1"/>
  <c r="X157" i="1"/>
  <c r="Y157" i="1" s="1"/>
  <c r="X173" i="1"/>
  <c r="Y173" i="1" s="1"/>
  <c r="X189" i="1"/>
  <c r="Y189" i="1" s="1"/>
  <c r="X205" i="1"/>
  <c r="Y205" i="1" s="1"/>
  <c r="X221" i="1"/>
  <c r="Y221" i="1" s="1"/>
  <c r="X237" i="1"/>
  <c r="Y237" i="1" s="1"/>
  <c r="X253" i="1"/>
  <c r="Y253" i="1" s="1"/>
  <c r="X269" i="1"/>
  <c r="Y269" i="1" s="1"/>
  <c r="X285" i="1"/>
  <c r="Y285" i="1" s="1"/>
  <c r="X301" i="1"/>
  <c r="Y301" i="1" s="1"/>
  <c r="X317" i="1"/>
  <c r="Y317" i="1" s="1"/>
  <c r="X333" i="1"/>
  <c r="Y333" i="1" s="1"/>
  <c r="X349" i="1"/>
  <c r="Y349" i="1" s="1"/>
  <c r="X14" i="1"/>
  <c r="Y14" i="1" s="1"/>
  <c r="X30" i="1"/>
  <c r="Y30" i="1" s="1"/>
  <c r="X46" i="1"/>
  <c r="Y46" i="1" s="1"/>
  <c r="X62" i="1"/>
  <c r="Y62" i="1" s="1"/>
  <c r="X78" i="1"/>
  <c r="Y78" i="1" s="1"/>
  <c r="X94" i="1"/>
  <c r="Y94" i="1" s="1"/>
  <c r="X110" i="1"/>
  <c r="Y110" i="1" s="1"/>
  <c r="X126" i="1"/>
  <c r="Y126" i="1" s="1"/>
  <c r="X142" i="1"/>
  <c r="Y142" i="1" s="1"/>
  <c r="X158" i="1"/>
  <c r="Y158" i="1" s="1"/>
  <c r="X174" i="1"/>
  <c r="Y174" i="1" s="1"/>
  <c r="X190" i="1"/>
  <c r="Y190" i="1" s="1"/>
  <c r="X206" i="1"/>
  <c r="Y206" i="1" s="1"/>
  <c r="X222" i="1"/>
  <c r="Y222" i="1" s="1"/>
  <c r="X238" i="1"/>
  <c r="Y238" i="1" s="1"/>
  <c r="X254" i="1"/>
  <c r="Y254" i="1" s="1"/>
  <c r="X270" i="1"/>
  <c r="Y270" i="1" s="1"/>
  <c r="X286" i="1"/>
  <c r="Y286" i="1" s="1"/>
  <c r="X302" i="1"/>
  <c r="Y302" i="1" s="1"/>
  <c r="X318" i="1"/>
  <c r="Y318" i="1" s="1"/>
  <c r="X334" i="1"/>
  <c r="Y334" i="1" s="1"/>
  <c r="X350" i="1"/>
  <c r="Y350" i="1" s="1"/>
  <c r="X15" i="1"/>
  <c r="Y15" i="1" s="1"/>
  <c r="X31" i="1"/>
  <c r="Y31" i="1" s="1"/>
  <c r="X47" i="1"/>
  <c r="Y47" i="1" s="1"/>
  <c r="X63" i="1"/>
  <c r="Y63" i="1" s="1"/>
  <c r="X79" i="1"/>
  <c r="Y79" i="1" s="1"/>
  <c r="X95" i="1"/>
  <c r="Y95" i="1" s="1"/>
  <c r="X111" i="1"/>
  <c r="Y111" i="1" s="1"/>
  <c r="X127" i="1"/>
  <c r="Y127" i="1" s="1"/>
  <c r="X143" i="1"/>
  <c r="Y143" i="1" s="1"/>
  <c r="X159" i="1"/>
  <c r="Y159" i="1" s="1"/>
  <c r="X175" i="1"/>
  <c r="Y175" i="1" s="1"/>
  <c r="X191" i="1"/>
  <c r="Y191" i="1" s="1"/>
  <c r="X207" i="1"/>
  <c r="Y207" i="1" s="1"/>
  <c r="X223" i="1"/>
  <c r="Y223" i="1" s="1"/>
  <c r="X239" i="1"/>
  <c r="Y239" i="1" s="1"/>
  <c r="X255" i="1"/>
  <c r="Y255" i="1" s="1"/>
  <c r="X271" i="1"/>
  <c r="Y271" i="1" s="1"/>
  <c r="X287" i="1"/>
  <c r="Y287" i="1" s="1"/>
  <c r="X303" i="1"/>
  <c r="Y303" i="1" s="1"/>
  <c r="X319" i="1"/>
  <c r="Y319" i="1" s="1"/>
  <c r="X335" i="1"/>
  <c r="Y335" i="1" s="1"/>
  <c r="X351" i="1"/>
  <c r="Y351" i="1" s="1"/>
  <c r="X16" i="1"/>
  <c r="Y16" i="1" s="1"/>
  <c r="X32" i="1"/>
  <c r="Y32" i="1" s="1"/>
  <c r="X48" i="1"/>
  <c r="Y48" i="1" s="1"/>
  <c r="X64" i="1"/>
  <c r="Y64" i="1" s="1"/>
  <c r="X80" i="1"/>
  <c r="Y80" i="1" s="1"/>
  <c r="X96" i="1"/>
  <c r="Y96" i="1" s="1"/>
  <c r="X112" i="1"/>
  <c r="Y112" i="1" s="1"/>
  <c r="X128" i="1"/>
  <c r="Y128" i="1" s="1"/>
  <c r="X144" i="1"/>
  <c r="Y144" i="1" s="1"/>
  <c r="X160" i="1"/>
  <c r="Y160" i="1" s="1"/>
  <c r="X176" i="1"/>
  <c r="Y176" i="1" s="1"/>
  <c r="X192" i="1"/>
  <c r="Y192" i="1" s="1"/>
  <c r="X208" i="1"/>
  <c r="Y208" i="1" s="1"/>
  <c r="X224" i="1"/>
  <c r="Y224" i="1" s="1"/>
  <c r="X240" i="1"/>
  <c r="Y240" i="1" s="1"/>
  <c r="X256" i="1"/>
  <c r="Y256" i="1" s="1"/>
  <c r="X272" i="1"/>
  <c r="Y272" i="1" s="1"/>
  <c r="X288" i="1"/>
  <c r="Y288" i="1" s="1"/>
  <c r="X304" i="1"/>
  <c r="Y304" i="1" s="1"/>
  <c r="X320" i="1"/>
  <c r="Y320" i="1" s="1"/>
  <c r="X336" i="1"/>
  <c r="Y336" i="1" s="1"/>
  <c r="X352" i="1"/>
  <c r="Y352" i="1" s="1"/>
  <c r="X17" i="1"/>
  <c r="Y17" i="1" s="1"/>
  <c r="X33" i="1"/>
  <c r="Y33" i="1" s="1"/>
  <c r="X49" i="1"/>
  <c r="Y49" i="1" s="1"/>
  <c r="X65" i="1"/>
  <c r="Y65" i="1" s="1"/>
  <c r="X81" i="1"/>
  <c r="Y81" i="1" s="1"/>
  <c r="X97" i="1"/>
  <c r="Y97" i="1" s="1"/>
  <c r="X113" i="1"/>
  <c r="Y113" i="1" s="1"/>
  <c r="X129" i="1"/>
  <c r="Y129" i="1" s="1"/>
  <c r="X145" i="1"/>
  <c r="Y145" i="1" s="1"/>
  <c r="X161" i="1"/>
  <c r="Y161" i="1" s="1"/>
  <c r="X177" i="1"/>
  <c r="Y177" i="1" s="1"/>
  <c r="X193" i="1"/>
  <c r="Y193" i="1" s="1"/>
  <c r="X209" i="1"/>
  <c r="Y209" i="1" s="1"/>
  <c r="X225" i="1"/>
  <c r="Y225" i="1" s="1"/>
  <c r="X241" i="1"/>
  <c r="Y241" i="1" s="1"/>
  <c r="X257" i="1"/>
  <c r="Y257" i="1" s="1"/>
  <c r="X273" i="1"/>
  <c r="Y273" i="1" s="1"/>
  <c r="X289" i="1"/>
  <c r="Y289" i="1" s="1"/>
  <c r="X305" i="1"/>
  <c r="Y305" i="1" s="1"/>
  <c r="X321" i="1"/>
  <c r="Y321" i="1" s="1"/>
  <c r="X337" i="1"/>
  <c r="Y337" i="1" s="1"/>
  <c r="X353" i="1"/>
  <c r="Y353" i="1" s="1"/>
  <c r="X18" i="1"/>
  <c r="Y18" i="1" s="1"/>
  <c r="X34" i="1"/>
  <c r="Y34" i="1" s="1"/>
  <c r="X50" i="1"/>
  <c r="Y50" i="1" s="1"/>
  <c r="X66" i="1"/>
  <c r="Y66" i="1" s="1"/>
  <c r="X82" i="1"/>
  <c r="Y82" i="1" s="1"/>
  <c r="X98" i="1"/>
  <c r="Y98" i="1" s="1"/>
  <c r="X114" i="1"/>
  <c r="Y114" i="1" s="1"/>
  <c r="X130" i="1"/>
  <c r="Y130" i="1" s="1"/>
  <c r="X146" i="1"/>
  <c r="Y146" i="1" s="1"/>
  <c r="X162" i="1"/>
  <c r="Y162" i="1" s="1"/>
  <c r="X178" i="1"/>
  <c r="Y178" i="1" s="1"/>
  <c r="X194" i="1"/>
  <c r="Y194" i="1" s="1"/>
  <c r="X210" i="1"/>
  <c r="Y210" i="1" s="1"/>
  <c r="X226" i="1"/>
  <c r="Y226" i="1" s="1"/>
  <c r="X242" i="1"/>
  <c r="Y242" i="1" s="1"/>
  <c r="X258" i="1"/>
  <c r="Y258" i="1" s="1"/>
  <c r="X274" i="1"/>
  <c r="Y274" i="1" s="1"/>
  <c r="X290" i="1"/>
  <c r="Y290" i="1" s="1"/>
  <c r="X306" i="1"/>
  <c r="Y306" i="1" s="1"/>
  <c r="X322" i="1"/>
  <c r="Y322" i="1" s="1"/>
  <c r="X338" i="1"/>
  <c r="Y338" i="1" s="1"/>
  <c r="X354" i="1"/>
  <c r="Y354" i="1" s="1"/>
  <c r="X19" i="1"/>
  <c r="Y19" i="1" s="1"/>
  <c r="X35" i="1"/>
  <c r="Y35" i="1" s="1"/>
  <c r="X51" i="1"/>
  <c r="Y51" i="1" s="1"/>
  <c r="X67" i="1"/>
  <c r="Y67" i="1" s="1"/>
  <c r="X83" i="1"/>
  <c r="Y83" i="1" s="1"/>
  <c r="X99" i="1"/>
  <c r="Y99" i="1" s="1"/>
  <c r="X115" i="1"/>
  <c r="Y115" i="1" s="1"/>
  <c r="X131" i="1"/>
  <c r="Y131" i="1" s="1"/>
  <c r="X147" i="1"/>
  <c r="Y147" i="1" s="1"/>
  <c r="X163" i="1"/>
  <c r="Y163" i="1" s="1"/>
  <c r="X179" i="1"/>
  <c r="Y179" i="1" s="1"/>
  <c r="X195" i="1"/>
  <c r="Y195" i="1" s="1"/>
  <c r="X211" i="1"/>
  <c r="Y211" i="1" s="1"/>
  <c r="X227" i="1"/>
  <c r="Y227" i="1" s="1"/>
  <c r="X243" i="1"/>
  <c r="Y243" i="1" s="1"/>
  <c r="X259" i="1"/>
  <c r="Y259" i="1" s="1"/>
  <c r="X275" i="1"/>
  <c r="Y275" i="1" s="1"/>
  <c r="X291" i="1"/>
  <c r="Y291" i="1" s="1"/>
  <c r="X307" i="1"/>
  <c r="Y307" i="1" s="1"/>
  <c r="X323" i="1"/>
  <c r="Y323" i="1" s="1"/>
  <c r="X339" i="1"/>
  <c r="Y339" i="1" s="1"/>
  <c r="X355" i="1"/>
  <c r="Y355" i="1" s="1"/>
  <c r="X4" i="1"/>
  <c r="Y4" i="1" s="1"/>
  <c r="X20" i="1"/>
  <c r="Y20" i="1" s="1"/>
  <c r="X36" i="1"/>
  <c r="Y36" i="1" s="1"/>
  <c r="X52" i="1"/>
  <c r="Y52" i="1" s="1"/>
  <c r="X68" i="1"/>
  <c r="Y68" i="1" s="1"/>
  <c r="X84" i="1"/>
  <c r="Y84" i="1" s="1"/>
  <c r="X100" i="1"/>
  <c r="Y100" i="1" s="1"/>
  <c r="X116" i="1"/>
  <c r="Y116" i="1" s="1"/>
  <c r="X132" i="1"/>
  <c r="Y132" i="1" s="1"/>
  <c r="X148" i="1"/>
  <c r="Y148" i="1" s="1"/>
  <c r="X164" i="1"/>
  <c r="Y164" i="1" s="1"/>
  <c r="X180" i="1"/>
  <c r="Y180" i="1" s="1"/>
  <c r="X196" i="1"/>
  <c r="Y196" i="1" s="1"/>
  <c r="X212" i="1"/>
  <c r="Y212" i="1" s="1"/>
  <c r="X228" i="1"/>
  <c r="Y228" i="1" s="1"/>
  <c r="X244" i="1"/>
  <c r="Y244" i="1" s="1"/>
  <c r="X260" i="1"/>
  <c r="Y260" i="1" s="1"/>
  <c r="X276" i="1"/>
  <c r="Y276" i="1" s="1"/>
  <c r="X292" i="1"/>
  <c r="Y292" i="1" s="1"/>
  <c r="X308" i="1"/>
  <c r="Y308" i="1" s="1"/>
  <c r="X324" i="1"/>
  <c r="Y324" i="1" s="1"/>
  <c r="X340" i="1"/>
  <c r="Y340" i="1" s="1"/>
  <c r="X356" i="1"/>
  <c r="Y356" i="1" s="1"/>
  <c r="X5" i="1"/>
  <c r="Y5" i="1" s="1"/>
  <c r="X21" i="1"/>
  <c r="Y21" i="1" s="1"/>
  <c r="X37" i="1"/>
  <c r="Y37" i="1" s="1"/>
  <c r="X53" i="1"/>
  <c r="Y53" i="1" s="1"/>
  <c r="X69" i="1"/>
  <c r="Y69" i="1" s="1"/>
  <c r="X85" i="1"/>
  <c r="Y85" i="1" s="1"/>
  <c r="X101" i="1"/>
  <c r="Y101" i="1" s="1"/>
  <c r="X117" i="1"/>
  <c r="Y117" i="1" s="1"/>
  <c r="X133" i="1"/>
  <c r="Y133" i="1" s="1"/>
  <c r="X149" i="1"/>
  <c r="Y149" i="1" s="1"/>
  <c r="X165" i="1"/>
  <c r="Y165" i="1" s="1"/>
  <c r="X181" i="1"/>
  <c r="Y181" i="1" s="1"/>
  <c r="X197" i="1"/>
  <c r="Y197" i="1" s="1"/>
  <c r="X213" i="1"/>
  <c r="Y213" i="1" s="1"/>
  <c r="X229" i="1"/>
  <c r="Y229" i="1" s="1"/>
  <c r="X245" i="1"/>
  <c r="Y245" i="1" s="1"/>
  <c r="X261" i="1"/>
  <c r="Y261" i="1" s="1"/>
  <c r="X277" i="1"/>
  <c r="Y277" i="1" s="1"/>
  <c r="X293" i="1"/>
  <c r="Y293" i="1" s="1"/>
  <c r="X309" i="1"/>
  <c r="Y309" i="1" s="1"/>
  <c r="X325" i="1"/>
  <c r="Y325" i="1" s="1"/>
  <c r="X341" i="1"/>
  <c r="Y341" i="1" s="1"/>
  <c r="X357" i="1"/>
  <c r="Y357" i="1" s="1"/>
  <c r="X6" i="1"/>
  <c r="Y6" i="1" s="1"/>
  <c r="X22" i="1"/>
  <c r="Y22" i="1" s="1"/>
  <c r="X38" i="1"/>
  <c r="Y38" i="1" s="1"/>
  <c r="X54" i="1"/>
  <c r="Y54" i="1" s="1"/>
  <c r="X70" i="1"/>
  <c r="Y70" i="1" s="1"/>
  <c r="X86" i="1"/>
  <c r="Y86" i="1" s="1"/>
  <c r="X102" i="1"/>
  <c r="Y102" i="1" s="1"/>
  <c r="X118" i="1"/>
  <c r="Y118" i="1" s="1"/>
  <c r="X134" i="1"/>
  <c r="Y134" i="1" s="1"/>
  <c r="X150" i="1"/>
  <c r="Y150" i="1" s="1"/>
  <c r="X166" i="1"/>
  <c r="Y166" i="1" s="1"/>
  <c r="X182" i="1"/>
  <c r="Y182" i="1" s="1"/>
  <c r="X198" i="1"/>
  <c r="Y198" i="1" s="1"/>
  <c r="X214" i="1"/>
  <c r="Y214" i="1" s="1"/>
  <c r="X230" i="1"/>
  <c r="Y230" i="1" s="1"/>
  <c r="X246" i="1"/>
  <c r="Y246" i="1" s="1"/>
  <c r="X262" i="1"/>
  <c r="Y262" i="1" s="1"/>
  <c r="X278" i="1"/>
  <c r="Y278" i="1" s="1"/>
  <c r="X294" i="1"/>
  <c r="Y294" i="1" s="1"/>
  <c r="X310" i="1"/>
  <c r="Y310" i="1" s="1"/>
  <c r="X326" i="1"/>
  <c r="Y326" i="1" s="1"/>
  <c r="X342" i="1"/>
  <c r="Y342" i="1" s="1"/>
  <c r="X358" i="1"/>
  <c r="Y358" i="1" s="1"/>
  <c r="X7" i="1"/>
  <c r="Y7" i="1" s="1"/>
  <c r="X23" i="1"/>
  <c r="Y23" i="1" s="1"/>
  <c r="X39" i="1"/>
  <c r="Y39" i="1" s="1"/>
  <c r="X55" i="1"/>
  <c r="Y55" i="1" s="1"/>
  <c r="X71" i="1"/>
  <c r="Y71" i="1" s="1"/>
  <c r="X87" i="1"/>
  <c r="Y87" i="1" s="1"/>
  <c r="X103" i="1"/>
  <c r="Y103" i="1" s="1"/>
  <c r="X119" i="1"/>
  <c r="Y119" i="1" s="1"/>
  <c r="X135" i="1"/>
  <c r="Y135" i="1" s="1"/>
  <c r="X151" i="1"/>
  <c r="Y151" i="1" s="1"/>
  <c r="X167" i="1"/>
  <c r="Y167" i="1" s="1"/>
  <c r="X183" i="1"/>
  <c r="Y183" i="1" s="1"/>
  <c r="X199" i="1"/>
  <c r="Y199" i="1" s="1"/>
  <c r="X215" i="1"/>
  <c r="Y215" i="1" s="1"/>
  <c r="X231" i="1"/>
  <c r="Y231" i="1" s="1"/>
  <c r="X247" i="1"/>
  <c r="Y247" i="1" s="1"/>
  <c r="X263" i="1"/>
  <c r="Y263" i="1" s="1"/>
  <c r="X279" i="1"/>
  <c r="Y279" i="1" s="1"/>
  <c r="X295" i="1"/>
  <c r="Y295" i="1" s="1"/>
  <c r="X311" i="1"/>
  <c r="Y311" i="1" s="1"/>
  <c r="X327" i="1"/>
  <c r="Y327" i="1" s="1"/>
  <c r="X343" i="1"/>
  <c r="Y343" i="1" s="1"/>
  <c r="X359" i="1"/>
  <c r="Y359" i="1" s="1"/>
  <c r="X8" i="1"/>
  <c r="Y8" i="1" s="1"/>
  <c r="X24" i="1"/>
  <c r="Y24" i="1" s="1"/>
  <c r="X40" i="1"/>
  <c r="Y40" i="1" s="1"/>
  <c r="X56" i="1"/>
  <c r="Y56" i="1" s="1"/>
  <c r="X72" i="1"/>
  <c r="Y72" i="1" s="1"/>
  <c r="X88" i="1"/>
  <c r="Y88" i="1" s="1"/>
  <c r="X104" i="1"/>
  <c r="Y104" i="1" s="1"/>
  <c r="X120" i="1"/>
  <c r="Y120" i="1" s="1"/>
  <c r="X136" i="1"/>
  <c r="Y136" i="1" s="1"/>
  <c r="X152" i="1"/>
  <c r="Y152" i="1" s="1"/>
  <c r="X168" i="1"/>
  <c r="Y168" i="1" s="1"/>
  <c r="X184" i="1"/>
  <c r="Y184" i="1" s="1"/>
  <c r="X200" i="1"/>
  <c r="Y200" i="1" s="1"/>
  <c r="X216" i="1"/>
  <c r="Y216" i="1" s="1"/>
  <c r="X232" i="1"/>
  <c r="Y232" i="1" s="1"/>
  <c r="X248" i="1"/>
  <c r="Y248" i="1" s="1"/>
  <c r="X264" i="1"/>
  <c r="Y264" i="1" s="1"/>
  <c r="X280" i="1"/>
  <c r="Y280" i="1" s="1"/>
  <c r="X296" i="1"/>
  <c r="Y296" i="1" s="1"/>
  <c r="X312" i="1"/>
  <c r="Y312" i="1" s="1"/>
  <c r="X328" i="1"/>
  <c r="Y328" i="1" s="1"/>
  <c r="X344" i="1"/>
  <c r="Y344" i="1" s="1"/>
  <c r="X360" i="1"/>
  <c r="Y360" i="1" s="1"/>
  <c r="X9" i="1"/>
  <c r="Y9" i="1" s="1"/>
  <c r="X25" i="1"/>
  <c r="Y25" i="1" s="1"/>
  <c r="X41" i="1"/>
  <c r="Y41" i="1" s="1"/>
  <c r="X57" i="1"/>
  <c r="Y57" i="1" s="1"/>
  <c r="X73" i="1"/>
  <c r="Y73" i="1" s="1"/>
  <c r="X89" i="1"/>
  <c r="Y89" i="1" s="1"/>
  <c r="X105" i="1"/>
  <c r="Y105" i="1" s="1"/>
  <c r="X121" i="1"/>
  <c r="Y121" i="1" s="1"/>
  <c r="X137" i="1"/>
  <c r="Y137" i="1" s="1"/>
  <c r="X153" i="1"/>
  <c r="Y153" i="1" s="1"/>
  <c r="X169" i="1"/>
  <c r="Y169" i="1" s="1"/>
  <c r="X185" i="1"/>
  <c r="Y185" i="1" s="1"/>
  <c r="X201" i="1"/>
  <c r="Y201" i="1" s="1"/>
  <c r="X217" i="1"/>
  <c r="Y217" i="1" s="1"/>
  <c r="X233" i="1"/>
  <c r="Y233" i="1" s="1"/>
  <c r="X249" i="1"/>
  <c r="Y249" i="1" s="1"/>
  <c r="X265" i="1"/>
  <c r="Y265" i="1" s="1"/>
  <c r="X281" i="1"/>
  <c r="Y281" i="1" s="1"/>
  <c r="X297" i="1"/>
  <c r="Y297" i="1" s="1"/>
  <c r="X313" i="1"/>
  <c r="Y313" i="1" s="1"/>
  <c r="X329" i="1"/>
  <c r="Y329" i="1" s="1"/>
  <c r="X345" i="1"/>
  <c r="Y345" i="1" s="1"/>
  <c r="X361" i="1"/>
  <c r="Y361" i="1" s="1"/>
  <c r="X362" i="1"/>
  <c r="Y362" i="1" s="1"/>
  <c r="X378" i="1"/>
  <c r="Y378" i="1" s="1"/>
  <c r="X394" i="1"/>
  <c r="Y394" i="1" s="1"/>
  <c r="X410" i="1"/>
  <c r="Y410" i="1" s="1"/>
  <c r="X426" i="1"/>
  <c r="Y426" i="1" s="1"/>
  <c r="X442" i="1"/>
  <c r="Y442" i="1" s="1"/>
  <c r="X458" i="1"/>
  <c r="Y458" i="1" s="1"/>
  <c r="X474" i="1"/>
  <c r="Y474" i="1" s="1"/>
  <c r="X490" i="1"/>
  <c r="Y490" i="1" s="1"/>
  <c r="X506" i="1"/>
  <c r="Y506" i="1" s="1"/>
  <c r="X522" i="1"/>
  <c r="Y522" i="1" s="1"/>
  <c r="X538" i="1"/>
  <c r="Y538" i="1" s="1"/>
  <c r="X554" i="1"/>
  <c r="Y554" i="1" s="1"/>
  <c r="X570" i="1"/>
  <c r="Y570" i="1" s="1"/>
  <c r="X586" i="1"/>
  <c r="Y586" i="1" s="1"/>
  <c r="X602" i="1"/>
  <c r="Y602" i="1" s="1"/>
  <c r="X618" i="1"/>
  <c r="Y618" i="1" s="1"/>
  <c r="X634" i="1"/>
  <c r="Y634" i="1" s="1"/>
  <c r="X650" i="1"/>
  <c r="Y650" i="1" s="1"/>
  <c r="X666" i="1"/>
  <c r="Y666" i="1" s="1"/>
  <c r="X682" i="1"/>
  <c r="Y682" i="1" s="1"/>
  <c r="X698" i="1"/>
  <c r="Y698" i="1" s="1"/>
  <c r="X714" i="1"/>
  <c r="Y714" i="1" s="1"/>
  <c r="X730" i="1"/>
  <c r="Y730" i="1" s="1"/>
  <c r="X746" i="1"/>
  <c r="Y746" i="1" s="1"/>
  <c r="X762" i="1"/>
  <c r="Y762" i="1" s="1"/>
  <c r="X778" i="1"/>
  <c r="Y778" i="1" s="1"/>
  <c r="X794" i="1"/>
  <c r="Y794" i="1" s="1"/>
  <c r="X810" i="1"/>
  <c r="Y810" i="1" s="1"/>
  <c r="X826" i="1"/>
  <c r="Y826" i="1" s="1"/>
  <c r="X842" i="1"/>
  <c r="Y842" i="1" s="1"/>
  <c r="X858" i="1"/>
  <c r="Y858" i="1" s="1"/>
  <c r="X874" i="1"/>
  <c r="Y874" i="1" s="1"/>
  <c r="X890" i="1"/>
  <c r="Y890" i="1" s="1"/>
  <c r="X906" i="1"/>
  <c r="Y906" i="1" s="1"/>
  <c r="X922" i="1"/>
  <c r="Y922" i="1" s="1"/>
  <c r="X938" i="1"/>
  <c r="Y938" i="1" s="1"/>
  <c r="X954" i="1"/>
  <c r="Y954" i="1" s="1"/>
  <c r="X970" i="1"/>
  <c r="Y970" i="1" s="1"/>
  <c r="X986" i="1"/>
  <c r="Y986" i="1" s="1"/>
  <c r="X1002" i="1"/>
  <c r="Y1002" i="1" s="1"/>
  <c r="X363" i="1"/>
  <c r="Y363" i="1" s="1"/>
  <c r="X379" i="1"/>
  <c r="Y379" i="1" s="1"/>
  <c r="X395" i="1"/>
  <c r="Y395" i="1" s="1"/>
  <c r="X411" i="1"/>
  <c r="Y411" i="1" s="1"/>
  <c r="X427" i="1"/>
  <c r="Y427" i="1" s="1"/>
  <c r="X443" i="1"/>
  <c r="Y443" i="1" s="1"/>
  <c r="X459" i="1"/>
  <c r="Y459" i="1" s="1"/>
  <c r="X475" i="1"/>
  <c r="Y475" i="1" s="1"/>
  <c r="X491" i="1"/>
  <c r="Y491" i="1" s="1"/>
  <c r="X507" i="1"/>
  <c r="Y507" i="1" s="1"/>
  <c r="X523" i="1"/>
  <c r="Y523" i="1" s="1"/>
  <c r="X539" i="1"/>
  <c r="Y539" i="1" s="1"/>
  <c r="X555" i="1"/>
  <c r="Y555" i="1" s="1"/>
  <c r="X571" i="1"/>
  <c r="Y571" i="1" s="1"/>
  <c r="X587" i="1"/>
  <c r="Y587" i="1" s="1"/>
  <c r="X603" i="1"/>
  <c r="Y603" i="1" s="1"/>
  <c r="X619" i="1"/>
  <c r="Y619" i="1" s="1"/>
  <c r="X635" i="1"/>
  <c r="Y635" i="1" s="1"/>
  <c r="X651" i="1"/>
  <c r="Y651" i="1" s="1"/>
  <c r="X667" i="1"/>
  <c r="Y667" i="1" s="1"/>
  <c r="X683" i="1"/>
  <c r="Y683" i="1" s="1"/>
  <c r="X699" i="1"/>
  <c r="Y699" i="1" s="1"/>
  <c r="X715" i="1"/>
  <c r="Y715" i="1" s="1"/>
  <c r="X731" i="1"/>
  <c r="Y731" i="1" s="1"/>
  <c r="X747" i="1"/>
  <c r="Y747" i="1" s="1"/>
  <c r="X763" i="1"/>
  <c r="Y763" i="1" s="1"/>
  <c r="X779" i="1"/>
  <c r="Y779" i="1" s="1"/>
  <c r="X795" i="1"/>
  <c r="Y795" i="1" s="1"/>
  <c r="X811" i="1"/>
  <c r="Y811" i="1" s="1"/>
  <c r="X827" i="1"/>
  <c r="Y827" i="1" s="1"/>
  <c r="X843" i="1"/>
  <c r="Y843" i="1" s="1"/>
  <c r="X859" i="1"/>
  <c r="Y859" i="1" s="1"/>
  <c r="X875" i="1"/>
  <c r="Y875" i="1" s="1"/>
  <c r="X891" i="1"/>
  <c r="Y891" i="1" s="1"/>
  <c r="X907" i="1"/>
  <c r="Y907" i="1" s="1"/>
  <c r="X923" i="1"/>
  <c r="Y923" i="1" s="1"/>
  <c r="X939" i="1"/>
  <c r="Y939" i="1" s="1"/>
  <c r="X955" i="1"/>
  <c r="Y955" i="1" s="1"/>
  <c r="X971" i="1"/>
  <c r="Y971" i="1" s="1"/>
  <c r="X987" i="1"/>
  <c r="Y987" i="1" s="1"/>
  <c r="X3" i="1"/>
  <c r="Y3" i="1" s="1"/>
  <c r="X364" i="1"/>
  <c r="Y364" i="1" s="1"/>
  <c r="X380" i="1"/>
  <c r="Y380" i="1" s="1"/>
  <c r="X396" i="1"/>
  <c r="Y396" i="1" s="1"/>
  <c r="X412" i="1"/>
  <c r="Y412" i="1" s="1"/>
  <c r="X428" i="1"/>
  <c r="Y428" i="1" s="1"/>
  <c r="X444" i="1"/>
  <c r="Y444" i="1" s="1"/>
  <c r="X460" i="1"/>
  <c r="Y460" i="1" s="1"/>
  <c r="X476" i="1"/>
  <c r="Y476" i="1" s="1"/>
  <c r="X492" i="1"/>
  <c r="Y492" i="1" s="1"/>
  <c r="X508" i="1"/>
  <c r="Y508" i="1" s="1"/>
  <c r="X524" i="1"/>
  <c r="Y524" i="1" s="1"/>
  <c r="X540" i="1"/>
  <c r="Y540" i="1" s="1"/>
  <c r="X556" i="1"/>
  <c r="Y556" i="1" s="1"/>
  <c r="X572" i="1"/>
  <c r="Y572" i="1" s="1"/>
  <c r="X588" i="1"/>
  <c r="Y588" i="1" s="1"/>
  <c r="X604" i="1"/>
  <c r="Y604" i="1" s="1"/>
  <c r="X620" i="1"/>
  <c r="Y620" i="1" s="1"/>
  <c r="X636" i="1"/>
  <c r="Y636" i="1" s="1"/>
  <c r="X652" i="1"/>
  <c r="Y652" i="1" s="1"/>
  <c r="X668" i="1"/>
  <c r="Y668" i="1" s="1"/>
  <c r="X684" i="1"/>
  <c r="Y684" i="1" s="1"/>
  <c r="X700" i="1"/>
  <c r="Y700" i="1" s="1"/>
  <c r="X716" i="1"/>
  <c r="Y716" i="1" s="1"/>
  <c r="X732" i="1"/>
  <c r="Y732" i="1" s="1"/>
  <c r="X748" i="1"/>
  <c r="Y748" i="1" s="1"/>
  <c r="X764" i="1"/>
  <c r="Y764" i="1" s="1"/>
  <c r="X780" i="1"/>
  <c r="Y780" i="1" s="1"/>
  <c r="X796" i="1"/>
  <c r="Y796" i="1" s="1"/>
  <c r="X812" i="1"/>
  <c r="Y812" i="1" s="1"/>
  <c r="X828" i="1"/>
  <c r="Y828" i="1" s="1"/>
  <c r="X844" i="1"/>
  <c r="Y844" i="1" s="1"/>
  <c r="X860" i="1"/>
  <c r="Y860" i="1" s="1"/>
  <c r="X876" i="1"/>
  <c r="Y876" i="1" s="1"/>
  <c r="X892" i="1"/>
  <c r="Y892" i="1" s="1"/>
  <c r="X908" i="1"/>
  <c r="Y908" i="1" s="1"/>
  <c r="X924" i="1"/>
  <c r="Y924" i="1" s="1"/>
  <c r="X940" i="1"/>
  <c r="Y940" i="1" s="1"/>
  <c r="X956" i="1"/>
  <c r="Y956" i="1" s="1"/>
  <c r="X972" i="1"/>
  <c r="Y972" i="1" s="1"/>
  <c r="X988" i="1"/>
  <c r="Y988" i="1" s="1"/>
  <c r="X365" i="1"/>
  <c r="Y365" i="1" s="1"/>
  <c r="X381" i="1"/>
  <c r="Y381" i="1" s="1"/>
  <c r="X397" i="1"/>
  <c r="Y397" i="1" s="1"/>
  <c r="X413" i="1"/>
  <c r="Y413" i="1" s="1"/>
  <c r="X429" i="1"/>
  <c r="Y429" i="1" s="1"/>
  <c r="X445" i="1"/>
  <c r="Y445" i="1" s="1"/>
  <c r="X461" i="1"/>
  <c r="Y461" i="1" s="1"/>
  <c r="X477" i="1"/>
  <c r="Y477" i="1" s="1"/>
  <c r="X493" i="1"/>
  <c r="Y493" i="1" s="1"/>
  <c r="X509" i="1"/>
  <c r="Y509" i="1" s="1"/>
  <c r="X525" i="1"/>
  <c r="Y525" i="1" s="1"/>
  <c r="X541" i="1"/>
  <c r="Y541" i="1" s="1"/>
  <c r="X557" i="1"/>
  <c r="Y557" i="1" s="1"/>
  <c r="X573" i="1"/>
  <c r="Y573" i="1" s="1"/>
  <c r="X589" i="1"/>
  <c r="Y589" i="1" s="1"/>
  <c r="X605" i="1"/>
  <c r="Y605" i="1" s="1"/>
  <c r="X621" i="1"/>
  <c r="Y621" i="1" s="1"/>
  <c r="X637" i="1"/>
  <c r="Y637" i="1" s="1"/>
  <c r="X653" i="1"/>
  <c r="Y653" i="1" s="1"/>
  <c r="X669" i="1"/>
  <c r="Y669" i="1" s="1"/>
  <c r="X685" i="1"/>
  <c r="Y685" i="1" s="1"/>
  <c r="X701" i="1"/>
  <c r="Y701" i="1" s="1"/>
  <c r="X717" i="1"/>
  <c r="Y717" i="1" s="1"/>
  <c r="X733" i="1"/>
  <c r="Y733" i="1" s="1"/>
  <c r="X749" i="1"/>
  <c r="Y749" i="1" s="1"/>
  <c r="X765" i="1"/>
  <c r="Y765" i="1" s="1"/>
  <c r="X781" i="1"/>
  <c r="Y781" i="1" s="1"/>
  <c r="X797" i="1"/>
  <c r="Y797" i="1" s="1"/>
  <c r="X813" i="1"/>
  <c r="Y813" i="1" s="1"/>
  <c r="X829" i="1"/>
  <c r="Y829" i="1" s="1"/>
  <c r="X845" i="1"/>
  <c r="Y845" i="1" s="1"/>
  <c r="X861" i="1"/>
  <c r="Y861" i="1" s="1"/>
  <c r="X877" i="1"/>
  <c r="Y877" i="1" s="1"/>
  <c r="X893" i="1"/>
  <c r="Y893" i="1" s="1"/>
  <c r="X909" i="1"/>
  <c r="Y909" i="1" s="1"/>
  <c r="X925" i="1"/>
  <c r="Y925" i="1" s="1"/>
  <c r="X941" i="1"/>
  <c r="Y941" i="1" s="1"/>
  <c r="X957" i="1"/>
  <c r="Y957" i="1" s="1"/>
  <c r="X973" i="1"/>
  <c r="Y973" i="1" s="1"/>
  <c r="X989" i="1"/>
  <c r="Y989" i="1" s="1"/>
  <c r="X366" i="1"/>
  <c r="Y366" i="1" s="1"/>
  <c r="X382" i="1"/>
  <c r="Y382" i="1" s="1"/>
  <c r="X398" i="1"/>
  <c r="Y398" i="1" s="1"/>
  <c r="X414" i="1"/>
  <c r="Y414" i="1" s="1"/>
  <c r="X430" i="1"/>
  <c r="Y430" i="1" s="1"/>
  <c r="X446" i="1"/>
  <c r="Y446" i="1" s="1"/>
  <c r="X462" i="1"/>
  <c r="Y462" i="1" s="1"/>
  <c r="X478" i="1"/>
  <c r="Y478" i="1" s="1"/>
  <c r="X494" i="1"/>
  <c r="Y494" i="1" s="1"/>
  <c r="X510" i="1"/>
  <c r="Y510" i="1" s="1"/>
  <c r="X526" i="1"/>
  <c r="Y526" i="1" s="1"/>
  <c r="X542" i="1"/>
  <c r="Y542" i="1" s="1"/>
  <c r="X558" i="1"/>
  <c r="Y558" i="1" s="1"/>
  <c r="X574" i="1"/>
  <c r="Y574" i="1" s="1"/>
  <c r="X590" i="1"/>
  <c r="Y590" i="1" s="1"/>
  <c r="X606" i="1"/>
  <c r="Y606" i="1" s="1"/>
  <c r="X622" i="1"/>
  <c r="Y622" i="1" s="1"/>
  <c r="X638" i="1"/>
  <c r="Y638" i="1" s="1"/>
  <c r="X654" i="1"/>
  <c r="Y654" i="1" s="1"/>
  <c r="X670" i="1"/>
  <c r="Y670" i="1" s="1"/>
  <c r="X686" i="1"/>
  <c r="Y686" i="1" s="1"/>
  <c r="X702" i="1"/>
  <c r="Y702" i="1" s="1"/>
  <c r="X718" i="1"/>
  <c r="Y718" i="1" s="1"/>
  <c r="X734" i="1"/>
  <c r="Y734" i="1" s="1"/>
  <c r="X750" i="1"/>
  <c r="Y750" i="1" s="1"/>
  <c r="X766" i="1"/>
  <c r="Y766" i="1" s="1"/>
  <c r="X782" i="1"/>
  <c r="Y782" i="1" s="1"/>
  <c r="X798" i="1"/>
  <c r="Y798" i="1" s="1"/>
  <c r="X814" i="1"/>
  <c r="Y814" i="1" s="1"/>
  <c r="X830" i="1"/>
  <c r="Y830" i="1" s="1"/>
  <c r="X846" i="1"/>
  <c r="Y846" i="1" s="1"/>
  <c r="X862" i="1"/>
  <c r="Y862" i="1" s="1"/>
  <c r="X878" i="1"/>
  <c r="Y878" i="1" s="1"/>
  <c r="X894" i="1"/>
  <c r="Y894" i="1" s="1"/>
  <c r="X910" i="1"/>
  <c r="Y910" i="1" s="1"/>
  <c r="X926" i="1"/>
  <c r="Y926" i="1" s="1"/>
  <c r="X942" i="1"/>
  <c r="Y942" i="1" s="1"/>
  <c r="X958" i="1"/>
  <c r="Y958" i="1" s="1"/>
  <c r="X974" i="1"/>
  <c r="Y974" i="1" s="1"/>
  <c r="X990" i="1"/>
  <c r="Y990" i="1" s="1"/>
  <c r="X367" i="1"/>
  <c r="Y367" i="1" s="1"/>
  <c r="X383" i="1"/>
  <c r="Y383" i="1" s="1"/>
  <c r="X399" i="1"/>
  <c r="Y399" i="1" s="1"/>
  <c r="X415" i="1"/>
  <c r="Y415" i="1" s="1"/>
  <c r="X431" i="1"/>
  <c r="Y431" i="1" s="1"/>
  <c r="X447" i="1"/>
  <c r="Y447" i="1" s="1"/>
  <c r="X463" i="1"/>
  <c r="Y463" i="1" s="1"/>
  <c r="X479" i="1"/>
  <c r="Y479" i="1" s="1"/>
  <c r="X495" i="1"/>
  <c r="Y495" i="1" s="1"/>
  <c r="X511" i="1"/>
  <c r="Y511" i="1" s="1"/>
  <c r="X527" i="1"/>
  <c r="Y527" i="1" s="1"/>
  <c r="X543" i="1"/>
  <c r="Y543" i="1" s="1"/>
  <c r="X559" i="1"/>
  <c r="Y559" i="1" s="1"/>
  <c r="X575" i="1"/>
  <c r="Y575" i="1" s="1"/>
  <c r="X591" i="1"/>
  <c r="Y591" i="1" s="1"/>
  <c r="X607" i="1"/>
  <c r="Y607" i="1" s="1"/>
  <c r="X623" i="1"/>
  <c r="Y623" i="1" s="1"/>
  <c r="X639" i="1"/>
  <c r="Y639" i="1" s="1"/>
  <c r="X655" i="1"/>
  <c r="Y655" i="1" s="1"/>
  <c r="X671" i="1"/>
  <c r="Y671" i="1" s="1"/>
  <c r="X687" i="1"/>
  <c r="Y687" i="1" s="1"/>
  <c r="X703" i="1"/>
  <c r="Y703" i="1" s="1"/>
  <c r="X719" i="1"/>
  <c r="Y719" i="1" s="1"/>
  <c r="X735" i="1"/>
  <c r="Y735" i="1" s="1"/>
  <c r="X751" i="1"/>
  <c r="Y751" i="1" s="1"/>
  <c r="X767" i="1"/>
  <c r="Y767" i="1" s="1"/>
  <c r="X783" i="1"/>
  <c r="Y783" i="1" s="1"/>
  <c r="X799" i="1"/>
  <c r="Y799" i="1" s="1"/>
  <c r="X815" i="1"/>
  <c r="Y815" i="1" s="1"/>
  <c r="X831" i="1"/>
  <c r="Y831" i="1" s="1"/>
  <c r="X847" i="1"/>
  <c r="Y847" i="1" s="1"/>
  <c r="X863" i="1"/>
  <c r="Y863" i="1" s="1"/>
  <c r="X879" i="1"/>
  <c r="Y879" i="1" s="1"/>
  <c r="X895" i="1"/>
  <c r="Y895" i="1" s="1"/>
  <c r="X911" i="1"/>
  <c r="Y911" i="1" s="1"/>
  <c r="X927" i="1"/>
  <c r="Y927" i="1" s="1"/>
  <c r="X943" i="1"/>
  <c r="Y943" i="1" s="1"/>
  <c r="X959" i="1"/>
  <c r="Y959" i="1" s="1"/>
  <c r="X975" i="1"/>
  <c r="Y975" i="1" s="1"/>
  <c r="X991" i="1"/>
  <c r="Y991" i="1" s="1"/>
  <c r="X368" i="1"/>
  <c r="Y368" i="1" s="1"/>
  <c r="X384" i="1"/>
  <c r="Y384" i="1" s="1"/>
  <c r="X400" i="1"/>
  <c r="Y400" i="1" s="1"/>
  <c r="X416" i="1"/>
  <c r="Y416" i="1" s="1"/>
  <c r="X432" i="1"/>
  <c r="Y432" i="1" s="1"/>
  <c r="X448" i="1"/>
  <c r="Y448" i="1" s="1"/>
  <c r="X464" i="1"/>
  <c r="Y464" i="1" s="1"/>
  <c r="X480" i="1"/>
  <c r="Y480" i="1" s="1"/>
  <c r="X496" i="1"/>
  <c r="Y496" i="1" s="1"/>
  <c r="X512" i="1"/>
  <c r="Y512" i="1" s="1"/>
  <c r="X528" i="1"/>
  <c r="Y528" i="1" s="1"/>
  <c r="X544" i="1"/>
  <c r="Y544" i="1" s="1"/>
  <c r="X560" i="1"/>
  <c r="Y560" i="1" s="1"/>
  <c r="X576" i="1"/>
  <c r="Y576" i="1" s="1"/>
  <c r="X592" i="1"/>
  <c r="Y592" i="1" s="1"/>
  <c r="X608" i="1"/>
  <c r="Y608" i="1" s="1"/>
  <c r="X624" i="1"/>
  <c r="Y624" i="1" s="1"/>
  <c r="X640" i="1"/>
  <c r="Y640" i="1" s="1"/>
  <c r="X656" i="1"/>
  <c r="Y656" i="1" s="1"/>
  <c r="X672" i="1"/>
  <c r="Y672" i="1" s="1"/>
  <c r="X688" i="1"/>
  <c r="Y688" i="1" s="1"/>
  <c r="X704" i="1"/>
  <c r="Y704" i="1" s="1"/>
  <c r="X720" i="1"/>
  <c r="Y720" i="1" s="1"/>
  <c r="X736" i="1"/>
  <c r="Y736" i="1" s="1"/>
  <c r="X752" i="1"/>
  <c r="Y752" i="1" s="1"/>
  <c r="X768" i="1"/>
  <c r="Y768" i="1" s="1"/>
  <c r="X784" i="1"/>
  <c r="Y784" i="1" s="1"/>
  <c r="X800" i="1"/>
  <c r="Y800" i="1" s="1"/>
  <c r="X816" i="1"/>
  <c r="Y816" i="1" s="1"/>
  <c r="X832" i="1"/>
  <c r="Y832" i="1" s="1"/>
  <c r="X848" i="1"/>
  <c r="Y848" i="1" s="1"/>
  <c r="X864" i="1"/>
  <c r="Y864" i="1" s="1"/>
  <c r="X880" i="1"/>
  <c r="Y880" i="1" s="1"/>
  <c r="X896" i="1"/>
  <c r="Y896" i="1" s="1"/>
  <c r="X912" i="1"/>
  <c r="Y912" i="1" s="1"/>
  <c r="X928" i="1"/>
  <c r="Y928" i="1" s="1"/>
  <c r="X944" i="1"/>
  <c r="Y944" i="1" s="1"/>
  <c r="X960" i="1"/>
  <c r="Y960" i="1" s="1"/>
  <c r="X976" i="1"/>
  <c r="Y976" i="1" s="1"/>
  <c r="X992" i="1"/>
  <c r="Y992" i="1" s="1"/>
  <c r="X369" i="1"/>
  <c r="Y369" i="1" s="1"/>
  <c r="X385" i="1"/>
  <c r="Y385" i="1" s="1"/>
  <c r="X401" i="1"/>
  <c r="Y401" i="1" s="1"/>
  <c r="X417" i="1"/>
  <c r="Y417" i="1" s="1"/>
  <c r="X433" i="1"/>
  <c r="Y433" i="1" s="1"/>
  <c r="X449" i="1"/>
  <c r="Y449" i="1" s="1"/>
  <c r="X465" i="1"/>
  <c r="Y465" i="1" s="1"/>
  <c r="X481" i="1"/>
  <c r="Y481" i="1" s="1"/>
  <c r="X497" i="1"/>
  <c r="Y497" i="1" s="1"/>
  <c r="X513" i="1"/>
  <c r="Y513" i="1" s="1"/>
  <c r="X529" i="1"/>
  <c r="Y529" i="1" s="1"/>
  <c r="X545" i="1"/>
  <c r="Y545" i="1" s="1"/>
  <c r="X561" i="1"/>
  <c r="Y561" i="1" s="1"/>
  <c r="X577" i="1"/>
  <c r="Y577" i="1" s="1"/>
  <c r="X593" i="1"/>
  <c r="Y593" i="1" s="1"/>
  <c r="X609" i="1"/>
  <c r="Y609" i="1" s="1"/>
  <c r="X625" i="1"/>
  <c r="Y625" i="1" s="1"/>
  <c r="X641" i="1"/>
  <c r="Y641" i="1" s="1"/>
  <c r="X657" i="1"/>
  <c r="Y657" i="1" s="1"/>
  <c r="X673" i="1"/>
  <c r="Y673" i="1" s="1"/>
  <c r="X689" i="1"/>
  <c r="Y689" i="1" s="1"/>
  <c r="X705" i="1"/>
  <c r="Y705" i="1" s="1"/>
  <c r="X721" i="1"/>
  <c r="Y721" i="1" s="1"/>
  <c r="X737" i="1"/>
  <c r="Y737" i="1" s="1"/>
  <c r="X753" i="1"/>
  <c r="Y753" i="1" s="1"/>
  <c r="X769" i="1"/>
  <c r="Y769" i="1" s="1"/>
  <c r="X785" i="1"/>
  <c r="Y785" i="1" s="1"/>
  <c r="X801" i="1"/>
  <c r="Y801" i="1" s="1"/>
  <c r="X817" i="1"/>
  <c r="Y817" i="1" s="1"/>
  <c r="X833" i="1"/>
  <c r="Y833" i="1" s="1"/>
  <c r="X849" i="1"/>
  <c r="Y849" i="1" s="1"/>
  <c r="X865" i="1"/>
  <c r="Y865" i="1" s="1"/>
  <c r="X881" i="1"/>
  <c r="Y881" i="1" s="1"/>
  <c r="X897" i="1"/>
  <c r="Y897" i="1" s="1"/>
  <c r="X913" i="1"/>
  <c r="Y913" i="1" s="1"/>
  <c r="X929" i="1"/>
  <c r="Y929" i="1" s="1"/>
  <c r="X945" i="1"/>
  <c r="Y945" i="1" s="1"/>
  <c r="X961" i="1"/>
  <c r="Y961" i="1" s="1"/>
  <c r="X977" i="1"/>
  <c r="Y977" i="1" s="1"/>
  <c r="X993" i="1"/>
  <c r="Y993" i="1" s="1"/>
  <c r="X370" i="1"/>
  <c r="Y370" i="1" s="1"/>
  <c r="X386" i="1"/>
  <c r="Y386" i="1" s="1"/>
  <c r="X402" i="1"/>
  <c r="Y402" i="1" s="1"/>
  <c r="X418" i="1"/>
  <c r="Y418" i="1" s="1"/>
  <c r="X434" i="1"/>
  <c r="Y434" i="1" s="1"/>
  <c r="X450" i="1"/>
  <c r="Y450" i="1" s="1"/>
  <c r="X466" i="1"/>
  <c r="Y466" i="1" s="1"/>
  <c r="X482" i="1"/>
  <c r="Y482" i="1" s="1"/>
  <c r="X498" i="1"/>
  <c r="Y498" i="1" s="1"/>
  <c r="X514" i="1"/>
  <c r="Y514" i="1" s="1"/>
  <c r="X530" i="1"/>
  <c r="Y530" i="1" s="1"/>
  <c r="X546" i="1"/>
  <c r="Y546" i="1" s="1"/>
  <c r="X562" i="1"/>
  <c r="Y562" i="1" s="1"/>
  <c r="X578" i="1"/>
  <c r="Y578" i="1" s="1"/>
  <c r="X594" i="1"/>
  <c r="Y594" i="1" s="1"/>
  <c r="X610" i="1"/>
  <c r="Y610" i="1" s="1"/>
  <c r="X626" i="1"/>
  <c r="Y626" i="1" s="1"/>
  <c r="X642" i="1"/>
  <c r="Y642" i="1" s="1"/>
  <c r="X658" i="1"/>
  <c r="Y658" i="1" s="1"/>
  <c r="X674" i="1"/>
  <c r="Y674" i="1" s="1"/>
  <c r="X690" i="1"/>
  <c r="Y690" i="1" s="1"/>
  <c r="X706" i="1"/>
  <c r="Y706" i="1" s="1"/>
  <c r="X722" i="1"/>
  <c r="Y722" i="1" s="1"/>
  <c r="X738" i="1"/>
  <c r="Y738" i="1" s="1"/>
  <c r="X754" i="1"/>
  <c r="Y754" i="1" s="1"/>
  <c r="X770" i="1"/>
  <c r="Y770" i="1" s="1"/>
  <c r="X786" i="1"/>
  <c r="Y786" i="1" s="1"/>
  <c r="X802" i="1"/>
  <c r="Y802" i="1" s="1"/>
  <c r="X818" i="1"/>
  <c r="Y818" i="1" s="1"/>
  <c r="X834" i="1"/>
  <c r="Y834" i="1" s="1"/>
  <c r="X850" i="1"/>
  <c r="Y850" i="1" s="1"/>
  <c r="X866" i="1"/>
  <c r="Y866" i="1" s="1"/>
  <c r="X882" i="1"/>
  <c r="Y882" i="1" s="1"/>
  <c r="X898" i="1"/>
  <c r="Y898" i="1" s="1"/>
  <c r="X914" i="1"/>
  <c r="Y914" i="1" s="1"/>
  <c r="X930" i="1"/>
  <c r="Y930" i="1" s="1"/>
  <c r="X946" i="1"/>
  <c r="Y946" i="1" s="1"/>
  <c r="X962" i="1"/>
  <c r="Y962" i="1" s="1"/>
  <c r="X978" i="1"/>
  <c r="Y978" i="1" s="1"/>
  <c r="X994" i="1"/>
  <c r="Y994" i="1" s="1"/>
  <c r="X371" i="1"/>
  <c r="Y371" i="1" s="1"/>
  <c r="X387" i="1"/>
  <c r="Y387" i="1" s="1"/>
  <c r="X403" i="1"/>
  <c r="Y403" i="1" s="1"/>
  <c r="X419" i="1"/>
  <c r="Y419" i="1" s="1"/>
  <c r="X435" i="1"/>
  <c r="Y435" i="1" s="1"/>
  <c r="X451" i="1"/>
  <c r="Y451" i="1" s="1"/>
  <c r="X467" i="1"/>
  <c r="Y467" i="1" s="1"/>
  <c r="X483" i="1"/>
  <c r="Y483" i="1" s="1"/>
  <c r="X499" i="1"/>
  <c r="Y499" i="1" s="1"/>
  <c r="X515" i="1"/>
  <c r="Y515" i="1" s="1"/>
  <c r="X531" i="1"/>
  <c r="Y531" i="1" s="1"/>
  <c r="X547" i="1"/>
  <c r="Y547" i="1" s="1"/>
  <c r="X563" i="1"/>
  <c r="Y563" i="1" s="1"/>
  <c r="X579" i="1"/>
  <c r="Y579" i="1" s="1"/>
  <c r="X595" i="1"/>
  <c r="Y595" i="1" s="1"/>
  <c r="X611" i="1"/>
  <c r="Y611" i="1" s="1"/>
  <c r="X627" i="1"/>
  <c r="Y627" i="1" s="1"/>
  <c r="X643" i="1"/>
  <c r="Y643" i="1" s="1"/>
  <c r="X659" i="1"/>
  <c r="Y659" i="1" s="1"/>
  <c r="X675" i="1"/>
  <c r="Y675" i="1" s="1"/>
  <c r="X691" i="1"/>
  <c r="Y691" i="1" s="1"/>
  <c r="X707" i="1"/>
  <c r="Y707" i="1" s="1"/>
  <c r="X723" i="1"/>
  <c r="Y723" i="1" s="1"/>
  <c r="X739" i="1"/>
  <c r="Y739" i="1" s="1"/>
  <c r="X755" i="1"/>
  <c r="Y755" i="1" s="1"/>
  <c r="X771" i="1"/>
  <c r="Y771" i="1" s="1"/>
  <c r="X787" i="1"/>
  <c r="Y787" i="1" s="1"/>
  <c r="X803" i="1"/>
  <c r="Y803" i="1" s="1"/>
  <c r="X819" i="1"/>
  <c r="Y819" i="1" s="1"/>
  <c r="X835" i="1"/>
  <c r="Y835" i="1" s="1"/>
  <c r="X851" i="1"/>
  <c r="Y851" i="1" s="1"/>
  <c r="X867" i="1"/>
  <c r="Y867" i="1" s="1"/>
  <c r="X883" i="1"/>
  <c r="Y883" i="1" s="1"/>
  <c r="X899" i="1"/>
  <c r="Y899" i="1" s="1"/>
  <c r="X915" i="1"/>
  <c r="Y915" i="1" s="1"/>
  <c r="X931" i="1"/>
  <c r="Y931" i="1" s="1"/>
  <c r="X947" i="1"/>
  <c r="Y947" i="1" s="1"/>
  <c r="X963" i="1"/>
  <c r="Y963" i="1" s="1"/>
  <c r="X979" i="1"/>
  <c r="Y979" i="1" s="1"/>
  <c r="X995" i="1"/>
  <c r="Y995" i="1" s="1"/>
  <c r="X372" i="1"/>
  <c r="Y372" i="1" s="1"/>
  <c r="X388" i="1"/>
  <c r="Y388" i="1" s="1"/>
  <c r="X404" i="1"/>
  <c r="Y404" i="1" s="1"/>
  <c r="X420" i="1"/>
  <c r="Y420" i="1" s="1"/>
  <c r="X436" i="1"/>
  <c r="Y436" i="1" s="1"/>
  <c r="X452" i="1"/>
  <c r="Y452" i="1" s="1"/>
  <c r="X468" i="1"/>
  <c r="Y468" i="1" s="1"/>
  <c r="X484" i="1"/>
  <c r="Y484" i="1" s="1"/>
  <c r="X500" i="1"/>
  <c r="Y500" i="1" s="1"/>
  <c r="X516" i="1"/>
  <c r="Y516" i="1" s="1"/>
  <c r="X532" i="1"/>
  <c r="Y532" i="1" s="1"/>
  <c r="X548" i="1"/>
  <c r="Y548" i="1" s="1"/>
  <c r="X564" i="1"/>
  <c r="Y564" i="1" s="1"/>
  <c r="X580" i="1"/>
  <c r="Y580" i="1" s="1"/>
  <c r="X596" i="1"/>
  <c r="Y596" i="1" s="1"/>
  <c r="X612" i="1"/>
  <c r="Y612" i="1" s="1"/>
  <c r="X628" i="1"/>
  <c r="Y628" i="1" s="1"/>
  <c r="X644" i="1"/>
  <c r="Y644" i="1" s="1"/>
  <c r="X660" i="1"/>
  <c r="Y660" i="1" s="1"/>
  <c r="X676" i="1"/>
  <c r="Y676" i="1" s="1"/>
  <c r="X692" i="1"/>
  <c r="Y692" i="1" s="1"/>
  <c r="X708" i="1"/>
  <c r="Y708" i="1" s="1"/>
  <c r="X724" i="1"/>
  <c r="Y724" i="1" s="1"/>
  <c r="X740" i="1"/>
  <c r="Y740" i="1" s="1"/>
  <c r="X756" i="1"/>
  <c r="Y756" i="1" s="1"/>
  <c r="X772" i="1"/>
  <c r="Y772" i="1" s="1"/>
  <c r="X788" i="1"/>
  <c r="Y788" i="1" s="1"/>
  <c r="X804" i="1"/>
  <c r="Y804" i="1" s="1"/>
  <c r="X820" i="1"/>
  <c r="Y820" i="1" s="1"/>
  <c r="X836" i="1"/>
  <c r="Y836" i="1" s="1"/>
  <c r="X852" i="1"/>
  <c r="Y852" i="1" s="1"/>
  <c r="X868" i="1"/>
  <c r="Y868" i="1" s="1"/>
  <c r="X884" i="1"/>
  <c r="Y884" i="1" s="1"/>
  <c r="X900" i="1"/>
  <c r="Y900" i="1" s="1"/>
  <c r="X916" i="1"/>
  <c r="Y916" i="1" s="1"/>
  <c r="X932" i="1"/>
  <c r="Y932" i="1" s="1"/>
  <c r="X948" i="1"/>
  <c r="Y948" i="1" s="1"/>
  <c r="X964" i="1"/>
  <c r="Y964" i="1" s="1"/>
  <c r="X980" i="1"/>
  <c r="Y980" i="1" s="1"/>
  <c r="X996" i="1"/>
  <c r="Y996" i="1" s="1"/>
  <c r="X373" i="1"/>
  <c r="Y373" i="1" s="1"/>
  <c r="X389" i="1"/>
  <c r="Y389" i="1" s="1"/>
  <c r="X405" i="1"/>
  <c r="Y405" i="1" s="1"/>
  <c r="X421" i="1"/>
  <c r="Y421" i="1" s="1"/>
  <c r="X437" i="1"/>
  <c r="Y437" i="1" s="1"/>
  <c r="X453" i="1"/>
  <c r="Y453" i="1" s="1"/>
  <c r="X469" i="1"/>
  <c r="Y469" i="1" s="1"/>
  <c r="X485" i="1"/>
  <c r="Y485" i="1" s="1"/>
  <c r="X501" i="1"/>
  <c r="Y501" i="1" s="1"/>
  <c r="X517" i="1"/>
  <c r="Y517" i="1" s="1"/>
  <c r="X533" i="1"/>
  <c r="Y533" i="1" s="1"/>
  <c r="X549" i="1"/>
  <c r="Y549" i="1" s="1"/>
  <c r="X565" i="1"/>
  <c r="Y565" i="1" s="1"/>
  <c r="X581" i="1"/>
  <c r="Y581" i="1" s="1"/>
  <c r="X597" i="1"/>
  <c r="Y597" i="1" s="1"/>
  <c r="X613" i="1"/>
  <c r="Y613" i="1" s="1"/>
  <c r="X629" i="1"/>
  <c r="Y629" i="1" s="1"/>
  <c r="X645" i="1"/>
  <c r="Y645" i="1" s="1"/>
  <c r="X661" i="1"/>
  <c r="Y661" i="1" s="1"/>
  <c r="X677" i="1"/>
  <c r="Y677" i="1" s="1"/>
  <c r="X693" i="1"/>
  <c r="Y693" i="1" s="1"/>
  <c r="X709" i="1"/>
  <c r="Y709" i="1" s="1"/>
  <c r="X725" i="1"/>
  <c r="Y725" i="1" s="1"/>
  <c r="X741" i="1"/>
  <c r="Y741" i="1" s="1"/>
  <c r="X757" i="1"/>
  <c r="Y757" i="1" s="1"/>
  <c r="X773" i="1"/>
  <c r="Y773" i="1" s="1"/>
  <c r="X789" i="1"/>
  <c r="Y789" i="1" s="1"/>
  <c r="X805" i="1"/>
  <c r="Y805" i="1" s="1"/>
  <c r="X821" i="1"/>
  <c r="Y821" i="1" s="1"/>
  <c r="X837" i="1"/>
  <c r="Y837" i="1" s="1"/>
  <c r="X853" i="1"/>
  <c r="Y853" i="1" s="1"/>
  <c r="X869" i="1"/>
  <c r="Y869" i="1" s="1"/>
  <c r="X885" i="1"/>
  <c r="Y885" i="1" s="1"/>
  <c r="X901" i="1"/>
  <c r="Y901" i="1" s="1"/>
  <c r="X917" i="1"/>
  <c r="Y917" i="1" s="1"/>
  <c r="X933" i="1"/>
  <c r="Y933" i="1" s="1"/>
  <c r="X949" i="1"/>
  <c r="Y949" i="1" s="1"/>
  <c r="X965" i="1"/>
  <c r="Y965" i="1" s="1"/>
  <c r="X981" i="1"/>
  <c r="Y981" i="1" s="1"/>
  <c r="X997" i="1"/>
  <c r="Y997" i="1" s="1"/>
  <c r="X727" i="1"/>
  <c r="Y727" i="1" s="1"/>
  <c r="X887" i="1"/>
  <c r="Y887" i="1" s="1"/>
  <c r="X919" i="1"/>
  <c r="Y919" i="1" s="1"/>
  <c r="X935" i="1"/>
  <c r="Y935" i="1" s="1"/>
  <c r="X967" i="1"/>
  <c r="Y967" i="1" s="1"/>
  <c r="X983" i="1"/>
  <c r="Y983" i="1" s="1"/>
  <c r="X999" i="1"/>
  <c r="Y999" i="1" s="1"/>
  <c r="X374" i="1"/>
  <c r="Y374" i="1" s="1"/>
  <c r="X390" i="1"/>
  <c r="Y390" i="1" s="1"/>
  <c r="X406" i="1"/>
  <c r="Y406" i="1" s="1"/>
  <c r="X422" i="1"/>
  <c r="Y422" i="1" s="1"/>
  <c r="X438" i="1"/>
  <c r="Y438" i="1" s="1"/>
  <c r="X454" i="1"/>
  <c r="Y454" i="1" s="1"/>
  <c r="X470" i="1"/>
  <c r="Y470" i="1" s="1"/>
  <c r="X486" i="1"/>
  <c r="Y486" i="1" s="1"/>
  <c r="X502" i="1"/>
  <c r="Y502" i="1" s="1"/>
  <c r="X518" i="1"/>
  <c r="Y518" i="1" s="1"/>
  <c r="X534" i="1"/>
  <c r="Y534" i="1" s="1"/>
  <c r="X550" i="1"/>
  <c r="Y550" i="1" s="1"/>
  <c r="X566" i="1"/>
  <c r="Y566" i="1" s="1"/>
  <c r="X582" i="1"/>
  <c r="Y582" i="1" s="1"/>
  <c r="X598" i="1"/>
  <c r="Y598" i="1" s="1"/>
  <c r="X614" i="1"/>
  <c r="Y614" i="1" s="1"/>
  <c r="X630" i="1"/>
  <c r="Y630" i="1" s="1"/>
  <c r="X646" i="1"/>
  <c r="Y646" i="1" s="1"/>
  <c r="X662" i="1"/>
  <c r="Y662" i="1" s="1"/>
  <c r="X678" i="1"/>
  <c r="Y678" i="1" s="1"/>
  <c r="X694" i="1"/>
  <c r="Y694" i="1" s="1"/>
  <c r="X710" i="1"/>
  <c r="Y710" i="1" s="1"/>
  <c r="X726" i="1"/>
  <c r="Y726" i="1" s="1"/>
  <c r="X742" i="1"/>
  <c r="Y742" i="1" s="1"/>
  <c r="X758" i="1"/>
  <c r="Y758" i="1" s="1"/>
  <c r="X774" i="1"/>
  <c r="Y774" i="1" s="1"/>
  <c r="X790" i="1"/>
  <c r="Y790" i="1" s="1"/>
  <c r="X806" i="1"/>
  <c r="Y806" i="1" s="1"/>
  <c r="X822" i="1"/>
  <c r="Y822" i="1" s="1"/>
  <c r="X838" i="1"/>
  <c r="Y838" i="1" s="1"/>
  <c r="X854" i="1"/>
  <c r="Y854" i="1" s="1"/>
  <c r="X870" i="1"/>
  <c r="Y870" i="1" s="1"/>
  <c r="X886" i="1"/>
  <c r="Y886" i="1" s="1"/>
  <c r="X902" i="1"/>
  <c r="Y902" i="1" s="1"/>
  <c r="X918" i="1"/>
  <c r="Y918" i="1" s="1"/>
  <c r="X934" i="1"/>
  <c r="Y934" i="1" s="1"/>
  <c r="X950" i="1"/>
  <c r="Y950" i="1" s="1"/>
  <c r="X966" i="1"/>
  <c r="Y966" i="1" s="1"/>
  <c r="X982" i="1"/>
  <c r="Y982" i="1" s="1"/>
  <c r="X998" i="1"/>
  <c r="Y998" i="1" s="1"/>
  <c r="X375" i="1"/>
  <c r="Y375" i="1" s="1"/>
  <c r="X391" i="1"/>
  <c r="Y391" i="1" s="1"/>
  <c r="X407" i="1"/>
  <c r="Y407" i="1" s="1"/>
  <c r="X423" i="1"/>
  <c r="Y423" i="1" s="1"/>
  <c r="X439" i="1"/>
  <c r="Y439" i="1" s="1"/>
  <c r="X455" i="1"/>
  <c r="Y455" i="1" s="1"/>
  <c r="X471" i="1"/>
  <c r="Y471" i="1" s="1"/>
  <c r="X487" i="1"/>
  <c r="Y487" i="1" s="1"/>
  <c r="X503" i="1"/>
  <c r="Y503" i="1" s="1"/>
  <c r="X519" i="1"/>
  <c r="Y519" i="1" s="1"/>
  <c r="X535" i="1"/>
  <c r="Y535" i="1" s="1"/>
  <c r="X551" i="1"/>
  <c r="Y551" i="1" s="1"/>
  <c r="X567" i="1"/>
  <c r="Y567" i="1" s="1"/>
  <c r="X583" i="1"/>
  <c r="Y583" i="1" s="1"/>
  <c r="X599" i="1"/>
  <c r="Y599" i="1" s="1"/>
  <c r="X615" i="1"/>
  <c r="Y615" i="1" s="1"/>
  <c r="X631" i="1"/>
  <c r="Y631" i="1" s="1"/>
  <c r="X647" i="1"/>
  <c r="Y647" i="1" s="1"/>
  <c r="X663" i="1"/>
  <c r="Y663" i="1" s="1"/>
  <c r="X679" i="1"/>
  <c r="Y679" i="1" s="1"/>
  <c r="X695" i="1"/>
  <c r="Y695" i="1" s="1"/>
  <c r="X711" i="1"/>
  <c r="Y711" i="1" s="1"/>
  <c r="X743" i="1"/>
  <c r="Y743" i="1" s="1"/>
  <c r="X759" i="1"/>
  <c r="Y759" i="1" s="1"/>
  <c r="X775" i="1"/>
  <c r="Y775" i="1" s="1"/>
  <c r="X791" i="1"/>
  <c r="Y791" i="1" s="1"/>
  <c r="X807" i="1"/>
  <c r="Y807" i="1" s="1"/>
  <c r="X823" i="1"/>
  <c r="Y823" i="1" s="1"/>
  <c r="X839" i="1"/>
  <c r="Y839" i="1" s="1"/>
  <c r="X855" i="1"/>
  <c r="Y855" i="1" s="1"/>
  <c r="X871" i="1"/>
  <c r="Y871" i="1" s="1"/>
  <c r="X903" i="1"/>
  <c r="Y903" i="1" s="1"/>
  <c r="X951" i="1"/>
  <c r="Y951" i="1" s="1"/>
  <c r="X376" i="1"/>
  <c r="Y376" i="1" s="1"/>
  <c r="X392" i="1"/>
  <c r="Y392" i="1" s="1"/>
  <c r="X408" i="1"/>
  <c r="Y408" i="1" s="1"/>
  <c r="X424" i="1"/>
  <c r="Y424" i="1" s="1"/>
  <c r="X440" i="1"/>
  <c r="Y440" i="1" s="1"/>
  <c r="X456" i="1"/>
  <c r="Y456" i="1" s="1"/>
  <c r="X472" i="1"/>
  <c r="Y472" i="1" s="1"/>
  <c r="X488" i="1"/>
  <c r="Y488" i="1" s="1"/>
  <c r="X504" i="1"/>
  <c r="Y504" i="1" s="1"/>
  <c r="X520" i="1"/>
  <c r="Y520" i="1" s="1"/>
  <c r="X536" i="1"/>
  <c r="Y536" i="1" s="1"/>
  <c r="X552" i="1"/>
  <c r="Y552" i="1" s="1"/>
  <c r="X568" i="1"/>
  <c r="Y568" i="1" s="1"/>
  <c r="X584" i="1"/>
  <c r="Y584" i="1" s="1"/>
  <c r="X600" i="1"/>
  <c r="Y600" i="1" s="1"/>
  <c r="X616" i="1"/>
  <c r="Y616" i="1" s="1"/>
  <c r="X632" i="1"/>
  <c r="Y632" i="1" s="1"/>
  <c r="X648" i="1"/>
  <c r="Y648" i="1" s="1"/>
  <c r="X664" i="1"/>
  <c r="Y664" i="1" s="1"/>
  <c r="X680" i="1"/>
  <c r="Y680" i="1" s="1"/>
  <c r="X696" i="1"/>
  <c r="Y696" i="1" s="1"/>
  <c r="X712" i="1"/>
  <c r="Y712" i="1" s="1"/>
  <c r="X728" i="1"/>
  <c r="Y728" i="1" s="1"/>
  <c r="X744" i="1"/>
  <c r="Y744" i="1" s="1"/>
  <c r="X760" i="1"/>
  <c r="Y760" i="1" s="1"/>
  <c r="X776" i="1"/>
  <c r="Y776" i="1" s="1"/>
  <c r="X792" i="1"/>
  <c r="Y792" i="1" s="1"/>
  <c r="X808" i="1"/>
  <c r="Y808" i="1" s="1"/>
  <c r="X824" i="1"/>
  <c r="Y824" i="1" s="1"/>
  <c r="X840" i="1"/>
  <c r="Y840" i="1" s="1"/>
  <c r="X856" i="1"/>
  <c r="Y856" i="1" s="1"/>
  <c r="X872" i="1"/>
  <c r="Y872" i="1" s="1"/>
  <c r="X888" i="1"/>
  <c r="Y888" i="1" s="1"/>
  <c r="X904" i="1"/>
  <c r="Y904" i="1" s="1"/>
  <c r="X920" i="1"/>
  <c r="Y920" i="1" s="1"/>
  <c r="X936" i="1"/>
  <c r="Y936" i="1" s="1"/>
  <c r="X952" i="1"/>
  <c r="Y952" i="1" s="1"/>
  <c r="X968" i="1"/>
  <c r="Y968" i="1" s="1"/>
  <c r="X984" i="1"/>
  <c r="Y984" i="1" s="1"/>
  <c r="X1000" i="1"/>
  <c r="Y1000" i="1" s="1"/>
  <c r="X377" i="1"/>
  <c r="Y377" i="1" s="1"/>
  <c r="X393" i="1"/>
  <c r="Y393" i="1" s="1"/>
  <c r="X409" i="1"/>
  <c r="Y409" i="1" s="1"/>
  <c r="X425" i="1"/>
  <c r="Y425" i="1" s="1"/>
  <c r="X441" i="1"/>
  <c r="Y441" i="1" s="1"/>
  <c r="X457" i="1"/>
  <c r="Y457" i="1" s="1"/>
  <c r="X473" i="1"/>
  <c r="Y473" i="1" s="1"/>
  <c r="X489" i="1"/>
  <c r="Y489" i="1" s="1"/>
  <c r="X505" i="1"/>
  <c r="Y505" i="1" s="1"/>
  <c r="X521" i="1"/>
  <c r="Y521" i="1" s="1"/>
  <c r="X537" i="1"/>
  <c r="Y537" i="1" s="1"/>
  <c r="X553" i="1"/>
  <c r="Y553" i="1" s="1"/>
  <c r="X569" i="1"/>
  <c r="Y569" i="1" s="1"/>
  <c r="X585" i="1"/>
  <c r="Y585" i="1" s="1"/>
  <c r="X601" i="1"/>
  <c r="Y601" i="1" s="1"/>
  <c r="X617" i="1"/>
  <c r="Y617" i="1" s="1"/>
  <c r="X633" i="1"/>
  <c r="Y633" i="1" s="1"/>
  <c r="X649" i="1"/>
  <c r="Y649" i="1" s="1"/>
  <c r="X665" i="1"/>
  <c r="Y665" i="1" s="1"/>
  <c r="X681" i="1"/>
  <c r="Y681" i="1" s="1"/>
  <c r="X697" i="1"/>
  <c r="Y697" i="1" s="1"/>
  <c r="X713" i="1"/>
  <c r="Y713" i="1" s="1"/>
  <c r="X729" i="1"/>
  <c r="Y729" i="1" s="1"/>
  <c r="X745" i="1"/>
  <c r="Y745" i="1" s="1"/>
  <c r="X761" i="1"/>
  <c r="Y761" i="1" s="1"/>
  <c r="X777" i="1"/>
  <c r="Y777" i="1" s="1"/>
  <c r="X793" i="1"/>
  <c r="Y793" i="1" s="1"/>
  <c r="X809" i="1"/>
  <c r="Y809" i="1" s="1"/>
  <c r="X825" i="1"/>
  <c r="Y825" i="1" s="1"/>
  <c r="X841" i="1"/>
  <c r="Y841" i="1" s="1"/>
  <c r="X857" i="1"/>
  <c r="Y857" i="1" s="1"/>
  <c r="X873" i="1"/>
  <c r="Y873" i="1" s="1"/>
  <c r="X889" i="1"/>
  <c r="Y889" i="1" s="1"/>
  <c r="X905" i="1"/>
  <c r="Y905" i="1" s="1"/>
  <c r="X921" i="1"/>
  <c r="Y921" i="1" s="1"/>
  <c r="X937" i="1"/>
  <c r="Y937" i="1" s="1"/>
  <c r="X953" i="1"/>
  <c r="Y953" i="1" s="1"/>
  <c r="X969" i="1"/>
  <c r="Y969" i="1" s="1"/>
  <c r="X985" i="1"/>
  <c r="Y985" i="1" s="1"/>
  <c r="X1001" i="1"/>
  <c r="Y1001" i="1" s="1"/>
</calcChain>
</file>

<file path=xl/sharedStrings.xml><?xml version="1.0" encoding="utf-8"?>
<sst xmlns="http://schemas.openxmlformats.org/spreadsheetml/2006/main" count="2043" uniqueCount="37">
  <si>
    <t>Category</t>
  </si>
  <si>
    <t>Material</t>
  </si>
  <si>
    <t>Brand_Popularity</t>
  </si>
  <si>
    <t>Production_Cost</t>
  </si>
  <si>
    <t>Price</t>
  </si>
  <si>
    <t>Sweater</t>
  </si>
  <si>
    <t>Jacket</t>
  </si>
  <si>
    <t>Shoes</t>
  </si>
  <si>
    <t>Pants</t>
  </si>
  <si>
    <t>Dress</t>
  </si>
  <si>
    <t>Skirt</t>
  </si>
  <si>
    <t>Shirt</t>
  </si>
  <si>
    <t>Polyester</t>
  </si>
  <si>
    <t>Leather</t>
  </si>
  <si>
    <t>Cotton</t>
  </si>
  <si>
    <t>Silk</t>
  </si>
  <si>
    <t>Denim</t>
  </si>
  <si>
    <t>Wool</t>
  </si>
  <si>
    <t>category</t>
  </si>
  <si>
    <t>category_code</t>
  </si>
  <si>
    <t>Material_code</t>
  </si>
  <si>
    <t>x0</t>
  </si>
  <si>
    <t>(x'x)=</t>
  </si>
  <si>
    <t>x'x_inv</t>
  </si>
  <si>
    <t>x'y=</t>
  </si>
  <si>
    <t>b_hat=</t>
  </si>
  <si>
    <t>predict price</t>
  </si>
  <si>
    <t>squared error</t>
  </si>
  <si>
    <t>rmse=</t>
  </si>
  <si>
    <t>mse=</t>
  </si>
  <si>
    <t>CHUẨN HÓA DỮ LIỆU TỪ DẠNG CHỮ --&gt; SỐ</t>
  </si>
  <si>
    <t>BẢNG DỮ LIỆU TỔNG HỢP SAU KHI CHUẨN HÓA</t>
  </si>
  <si>
    <t>TÍNH TOÁN CHỈ SỐ</t>
  </si>
  <si>
    <t>DỰ ĐOÁN VÀ ĐÁNH GIÁ MÔ HÌNH</t>
  </si>
  <si>
    <t>BẢNG DỮ LIỆU GỐC</t>
  </si>
  <si>
    <t>(thầy vui lòng lướt xún dưới cùng để xem kết quả đánh giá ạ, em xin cảm ơn thầy &lt;3)</t>
  </si>
  <si>
    <r>
      <rPr>
        <b/>
        <sz val="11"/>
        <color theme="1"/>
        <rFont val="Calibri"/>
        <family val="2"/>
        <scheme val="minor"/>
      </rPr>
      <t xml:space="preserve">Kết luận: </t>
    </r>
    <r>
      <rPr>
        <sz val="11"/>
        <color theme="1"/>
        <rFont val="Calibri"/>
        <family val="2"/>
        <scheme val="minor"/>
      </rPr>
      <t xml:space="preserve">
RMSE = 34.70, có nghĩa là mô hình dự đoán chệch khỏi giá trị thực tế khoảng 34.70 đơn vị
=&gt; Mô hình tương đối tốt, sai số là khoảng &gt;10% nên vẫn có thể chấp nhận được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</si>
</sst>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3" fillId="3" borderId="1" xfId="0" applyFont="1" applyFill="1" applyBorder="1"/>
    <xf numFmtId="0" fontId="1" fillId="0" borderId="0" xfId="0" applyFont="1"/>
    <xf numFmtId="0" fontId="1" fillId="3" borderId="5" xfId="0" applyFont="1" applyFill="1" applyBorder="1" applyAlignment="1">
      <alignment horizontal="center" vertical="top"/>
    </xf>
    <xf numFmtId="0" fontId="0" fillId="3" borderId="5" xfId="0" applyFill="1" applyBorder="1"/>
    <xf numFmtId="0" fontId="1" fillId="3" borderId="3" xfId="0" applyFont="1" applyFill="1" applyBorder="1" applyAlignment="1">
      <alignment horizontal="center" vertical="top"/>
    </xf>
    <xf numFmtId="0" fontId="0" fillId="3" borderId="7" xfId="0" applyFill="1" applyBorder="1"/>
    <xf numFmtId="0" fontId="2" fillId="4" borderId="8" xfId="0" applyFont="1" applyFill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2" fillId="4" borderId="8" xfId="0" applyFont="1" applyFill="1" applyBorder="1"/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4" xfId="0" applyFill="1" applyBorder="1"/>
    <xf numFmtId="0" fontId="0" fillId="0" borderId="14" xfId="0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6" fillId="0" borderId="0" xfId="0" applyFont="1"/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4" fillId="4" borderId="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Actual vs Predicted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Sheet1!$O$3:$O$1002</c:f>
              <c:numCache>
                <c:formatCode>General</c:formatCode>
                <c:ptCount val="1000"/>
                <c:pt idx="0">
                  <c:v>87.902667102905781</c:v>
                </c:pt>
                <c:pt idx="1">
                  <c:v>268.06373279803631</c:v>
                </c:pt>
                <c:pt idx="2">
                  <c:v>237.53465197420101</c:v>
                </c:pt>
                <c:pt idx="3">
                  <c:v>206.6488820352821</c:v>
                </c:pt>
                <c:pt idx="4">
                  <c:v>203.7105770202518</c:v>
                </c:pt>
                <c:pt idx="5">
                  <c:v>291.4675866540415</c:v>
                </c:pt>
                <c:pt idx="6">
                  <c:v>168.59525343404769</c:v>
                </c:pt>
                <c:pt idx="7">
                  <c:v>189.6973754960834</c:v>
                </c:pt>
                <c:pt idx="8">
                  <c:v>112.43857368568131</c:v>
                </c:pt>
                <c:pt idx="9">
                  <c:v>339.64178747682922</c:v>
                </c:pt>
                <c:pt idx="10">
                  <c:v>114.1322724995289</c:v>
                </c:pt>
                <c:pt idx="11">
                  <c:v>318.63949109243009</c:v>
                </c:pt>
                <c:pt idx="12">
                  <c:v>437.17506550387259</c:v>
                </c:pt>
                <c:pt idx="13">
                  <c:v>371.28003378163288</c:v>
                </c:pt>
                <c:pt idx="14">
                  <c:v>267.04141178229969</c:v>
                </c:pt>
                <c:pt idx="15">
                  <c:v>63.302869464084097</c:v>
                </c:pt>
                <c:pt idx="16">
                  <c:v>228.2948237884911</c:v>
                </c:pt>
                <c:pt idx="17">
                  <c:v>335.95690892799172</c:v>
                </c:pt>
                <c:pt idx="18">
                  <c:v>170.5912085180702</c:v>
                </c:pt>
                <c:pt idx="19">
                  <c:v>129.08869182762149</c:v>
                </c:pt>
                <c:pt idx="20">
                  <c:v>241.69827474905031</c:v>
                </c:pt>
                <c:pt idx="21">
                  <c:v>248.35314105200729</c:v>
                </c:pt>
                <c:pt idx="22">
                  <c:v>237.13544086934749</c:v>
                </c:pt>
                <c:pt idx="23">
                  <c:v>304.67317665378027</c:v>
                </c:pt>
                <c:pt idx="24">
                  <c:v>227.22810129711459</c:v>
                </c:pt>
                <c:pt idx="25">
                  <c:v>243.57952689957409</c:v>
                </c:pt>
                <c:pt idx="26">
                  <c:v>166.75364533590741</c:v>
                </c:pt>
                <c:pt idx="27">
                  <c:v>118.18200881229851</c:v>
                </c:pt>
                <c:pt idx="28">
                  <c:v>240.98002233812861</c:v>
                </c:pt>
                <c:pt idx="29">
                  <c:v>229.72917949599929</c:v>
                </c:pt>
                <c:pt idx="30">
                  <c:v>326.85964702972751</c:v>
                </c:pt>
                <c:pt idx="31">
                  <c:v>297.20134417213347</c:v>
                </c:pt>
                <c:pt idx="32">
                  <c:v>165.27991643686951</c:v>
                </c:pt>
                <c:pt idx="33">
                  <c:v>219.2810265064935</c:v>
                </c:pt>
                <c:pt idx="34">
                  <c:v>179.00729934632079</c:v>
                </c:pt>
                <c:pt idx="35">
                  <c:v>263.55852618765527</c:v>
                </c:pt>
                <c:pt idx="36">
                  <c:v>246.00154817925451</c:v>
                </c:pt>
                <c:pt idx="37">
                  <c:v>192.15915266066671</c:v>
                </c:pt>
                <c:pt idx="38">
                  <c:v>247.0353452706041</c:v>
                </c:pt>
                <c:pt idx="39">
                  <c:v>145.4184653751436</c:v>
                </c:pt>
                <c:pt idx="40">
                  <c:v>255.73889066499291</c:v>
                </c:pt>
                <c:pt idx="41">
                  <c:v>225.44358498802481</c:v>
                </c:pt>
                <c:pt idx="42">
                  <c:v>219.25770478868159</c:v>
                </c:pt>
                <c:pt idx="43">
                  <c:v>408.78491185442527</c:v>
                </c:pt>
                <c:pt idx="44">
                  <c:v>227.08771945623329</c:v>
                </c:pt>
                <c:pt idx="45">
                  <c:v>302.9432248655707</c:v>
                </c:pt>
                <c:pt idx="46">
                  <c:v>256.86157532010878</c:v>
                </c:pt>
                <c:pt idx="47">
                  <c:v>187.3697160403687</c:v>
                </c:pt>
                <c:pt idx="48">
                  <c:v>85.944785624598865</c:v>
                </c:pt>
                <c:pt idx="49">
                  <c:v>153.97188047049909</c:v>
                </c:pt>
                <c:pt idx="50">
                  <c:v>218.8395594549699</c:v>
                </c:pt>
                <c:pt idx="51">
                  <c:v>229.3702672576533</c:v>
                </c:pt>
                <c:pt idx="52">
                  <c:v>21.610302049011771</c:v>
                </c:pt>
                <c:pt idx="53">
                  <c:v>132.86417053173369</c:v>
                </c:pt>
                <c:pt idx="54">
                  <c:v>165.71586429606569</c:v>
                </c:pt>
                <c:pt idx="55">
                  <c:v>308.61088193852311</c:v>
                </c:pt>
                <c:pt idx="56">
                  <c:v>176.40331256098071</c:v>
                </c:pt>
                <c:pt idx="57">
                  <c:v>197.44182977189951</c:v>
                </c:pt>
                <c:pt idx="58">
                  <c:v>98.351231938491551</c:v>
                </c:pt>
                <c:pt idx="59">
                  <c:v>218.06467355154649</c:v>
                </c:pt>
                <c:pt idx="60">
                  <c:v>123.02387219231829</c:v>
                </c:pt>
                <c:pt idx="61">
                  <c:v>158.71169966899151</c:v>
                </c:pt>
                <c:pt idx="62">
                  <c:v>281.67854634067032</c:v>
                </c:pt>
                <c:pt idx="63">
                  <c:v>105.76283130322329</c:v>
                </c:pt>
                <c:pt idx="64">
                  <c:v>24.19476185191651</c:v>
                </c:pt>
                <c:pt idx="65">
                  <c:v>106.00713670188949</c:v>
                </c:pt>
                <c:pt idx="66">
                  <c:v>28.484326563353509</c:v>
                </c:pt>
                <c:pt idx="67">
                  <c:v>105.1046106431523</c:v>
                </c:pt>
                <c:pt idx="68">
                  <c:v>219.73580310130319</c:v>
                </c:pt>
                <c:pt idx="69">
                  <c:v>246.71873362316191</c:v>
                </c:pt>
                <c:pt idx="70">
                  <c:v>391.36158615121121</c:v>
                </c:pt>
                <c:pt idx="71">
                  <c:v>177.14858258693189</c:v>
                </c:pt>
                <c:pt idx="72">
                  <c:v>155.56433362521301</c:v>
                </c:pt>
                <c:pt idx="73">
                  <c:v>378.51513144545629</c:v>
                </c:pt>
                <c:pt idx="74">
                  <c:v>169.5041683974481</c:v>
                </c:pt>
                <c:pt idx="75">
                  <c:v>125.46485871678099</c:v>
                </c:pt>
                <c:pt idx="76">
                  <c:v>275.06651310760452</c:v>
                </c:pt>
                <c:pt idx="77">
                  <c:v>119.9481480663143</c:v>
                </c:pt>
                <c:pt idx="78">
                  <c:v>259.83799753161622</c:v>
                </c:pt>
                <c:pt idx="79">
                  <c:v>191.05602813629139</c:v>
                </c:pt>
                <c:pt idx="80">
                  <c:v>450.5475561918912</c:v>
                </c:pt>
                <c:pt idx="81">
                  <c:v>209.60616752844609</c:v>
                </c:pt>
                <c:pt idx="82">
                  <c:v>320.90583237171393</c:v>
                </c:pt>
                <c:pt idx="83">
                  <c:v>347.08547048484382</c:v>
                </c:pt>
                <c:pt idx="84">
                  <c:v>118.7975019548287</c:v>
                </c:pt>
                <c:pt idx="85">
                  <c:v>192.56763919924009</c:v>
                </c:pt>
                <c:pt idx="86">
                  <c:v>164.62216887093959</c:v>
                </c:pt>
                <c:pt idx="87">
                  <c:v>193.71812611674</c:v>
                </c:pt>
                <c:pt idx="88">
                  <c:v>154.4670653891537</c:v>
                </c:pt>
                <c:pt idx="89">
                  <c:v>319.81449991279248</c:v>
                </c:pt>
                <c:pt idx="90">
                  <c:v>252.10099859523851</c:v>
                </c:pt>
                <c:pt idx="91">
                  <c:v>341.34811096796659</c:v>
                </c:pt>
                <c:pt idx="92">
                  <c:v>145.39475158664541</c:v>
                </c:pt>
                <c:pt idx="93">
                  <c:v>430.467290961027</c:v>
                </c:pt>
                <c:pt idx="94">
                  <c:v>395.26446716631278</c:v>
                </c:pt>
                <c:pt idx="95">
                  <c:v>312.61376672360001</c:v>
                </c:pt>
                <c:pt idx="96">
                  <c:v>188.4437299807654</c:v>
                </c:pt>
                <c:pt idx="97">
                  <c:v>205.61530267567531</c:v>
                </c:pt>
                <c:pt idx="98">
                  <c:v>122.0424655920884</c:v>
                </c:pt>
                <c:pt idx="99">
                  <c:v>136.58409917624459</c:v>
                </c:pt>
                <c:pt idx="100">
                  <c:v>78.730706785853144</c:v>
                </c:pt>
                <c:pt idx="101">
                  <c:v>178.71995254523031</c:v>
                </c:pt>
                <c:pt idx="102">
                  <c:v>330.23491266267757</c:v>
                </c:pt>
                <c:pt idx="103">
                  <c:v>174.88012520378939</c:v>
                </c:pt>
                <c:pt idx="104">
                  <c:v>180.26035507887809</c:v>
                </c:pt>
                <c:pt idx="105">
                  <c:v>221.49127227351349</c:v>
                </c:pt>
                <c:pt idx="106">
                  <c:v>275.36432594288698</c:v>
                </c:pt>
                <c:pt idx="107">
                  <c:v>63.679690022491563</c:v>
                </c:pt>
                <c:pt idx="108">
                  <c:v>145.6107952339965</c:v>
                </c:pt>
                <c:pt idx="109">
                  <c:v>296.16177435745868</c:v>
                </c:pt>
                <c:pt idx="110">
                  <c:v>48.741259434064197</c:v>
                </c:pt>
                <c:pt idx="111">
                  <c:v>192.733575993709</c:v>
                </c:pt>
                <c:pt idx="112">
                  <c:v>202.34840373313949</c:v>
                </c:pt>
                <c:pt idx="113">
                  <c:v>392.54766818914811</c:v>
                </c:pt>
                <c:pt idx="114">
                  <c:v>273.78013433448137</c:v>
                </c:pt>
                <c:pt idx="115">
                  <c:v>263.9538884603121</c:v>
                </c:pt>
                <c:pt idx="116">
                  <c:v>172.44767859764991</c:v>
                </c:pt>
                <c:pt idx="117">
                  <c:v>344.42152001878839</c:v>
                </c:pt>
                <c:pt idx="118">
                  <c:v>52.049534671317332</c:v>
                </c:pt>
                <c:pt idx="119">
                  <c:v>327.71978479929493</c:v>
                </c:pt>
                <c:pt idx="120">
                  <c:v>346.21976950732858</c:v>
                </c:pt>
                <c:pt idx="121">
                  <c:v>273.60647792821538</c:v>
                </c:pt>
                <c:pt idx="122">
                  <c:v>387.93475413751872</c:v>
                </c:pt>
                <c:pt idx="123">
                  <c:v>255.24924805046919</c:v>
                </c:pt>
                <c:pt idx="124">
                  <c:v>161.92484409433351</c:v>
                </c:pt>
                <c:pt idx="125">
                  <c:v>374.66838462861301</c:v>
                </c:pt>
                <c:pt idx="126">
                  <c:v>93.823883378955401</c:v>
                </c:pt>
                <c:pt idx="127">
                  <c:v>223.6330078236119</c:v>
                </c:pt>
                <c:pt idx="128">
                  <c:v>89.38484700951507</c:v>
                </c:pt>
                <c:pt idx="129">
                  <c:v>68.834450961924119</c:v>
                </c:pt>
                <c:pt idx="130">
                  <c:v>183.1806497889045</c:v>
                </c:pt>
                <c:pt idx="131">
                  <c:v>218.13752223361061</c:v>
                </c:pt>
                <c:pt idx="132">
                  <c:v>234.31514462754501</c:v>
                </c:pt>
                <c:pt idx="133">
                  <c:v>265.86230843226741</c:v>
                </c:pt>
                <c:pt idx="134">
                  <c:v>45.98627774790512</c:v>
                </c:pt>
                <c:pt idx="135">
                  <c:v>80.48630977558291</c:v>
                </c:pt>
                <c:pt idx="136">
                  <c:v>263.93568413665997</c:v>
                </c:pt>
                <c:pt idx="137">
                  <c:v>98.414746100700256</c:v>
                </c:pt>
                <c:pt idx="138">
                  <c:v>254.46769918605619</c:v>
                </c:pt>
                <c:pt idx="139">
                  <c:v>250.71082931134751</c:v>
                </c:pt>
                <c:pt idx="140">
                  <c:v>280.93949221148091</c:v>
                </c:pt>
                <c:pt idx="141">
                  <c:v>221.2450889302398</c:v>
                </c:pt>
                <c:pt idx="142">
                  <c:v>208.8929197414987</c:v>
                </c:pt>
                <c:pt idx="143">
                  <c:v>274.18530531055973</c:v>
                </c:pt>
                <c:pt idx="144">
                  <c:v>219.91525814792081</c:v>
                </c:pt>
                <c:pt idx="145">
                  <c:v>155.66108512811681</c:v>
                </c:pt>
                <c:pt idx="146">
                  <c:v>316.57369719792769</c:v>
                </c:pt>
                <c:pt idx="147">
                  <c:v>164.49831126525669</c:v>
                </c:pt>
                <c:pt idx="148">
                  <c:v>344.21007332079301</c:v>
                </c:pt>
                <c:pt idx="149">
                  <c:v>244.8166430270546</c:v>
                </c:pt>
                <c:pt idx="150">
                  <c:v>281.25891475244549</c:v>
                </c:pt>
                <c:pt idx="151">
                  <c:v>350.19056978799222</c:v>
                </c:pt>
                <c:pt idx="152">
                  <c:v>161.16374381251219</c:v>
                </c:pt>
                <c:pt idx="153">
                  <c:v>218.53008237513001</c:v>
                </c:pt>
                <c:pt idx="154">
                  <c:v>259.47074295335119</c:v>
                </c:pt>
                <c:pt idx="155">
                  <c:v>274.86110440638089</c:v>
                </c:pt>
                <c:pt idx="156">
                  <c:v>198.63488960837049</c:v>
                </c:pt>
                <c:pt idx="157">
                  <c:v>235.7748790287863</c:v>
                </c:pt>
                <c:pt idx="158">
                  <c:v>248.40634490248561</c:v>
                </c:pt>
                <c:pt idx="159">
                  <c:v>126.2329482366012</c:v>
                </c:pt>
                <c:pt idx="160">
                  <c:v>102.4530857251837</c:v>
                </c:pt>
                <c:pt idx="161">
                  <c:v>218.05313259305299</c:v>
                </c:pt>
                <c:pt idx="162">
                  <c:v>80.201065450237621</c:v>
                </c:pt>
                <c:pt idx="163">
                  <c:v>382.35644644552741</c:v>
                </c:pt>
                <c:pt idx="164">
                  <c:v>277.8322095632634</c:v>
                </c:pt>
                <c:pt idx="165">
                  <c:v>105.9992617036776</c:v>
                </c:pt>
                <c:pt idx="166">
                  <c:v>61.761800371578289</c:v>
                </c:pt>
                <c:pt idx="167">
                  <c:v>221.3636082261051</c:v>
                </c:pt>
                <c:pt idx="168">
                  <c:v>247.51536010806339</c:v>
                </c:pt>
                <c:pt idx="169">
                  <c:v>97.415487254141354</c:v>
                </c:pt>
                <c:pt idx="170">
                  <c:v>64.68788697670098</c:v>
                </c:pt>
                <c:pt idx="171">
                  <c:v>168.9174583206073</c:v>
                </c:pt>
                <c:pt idx="172">
                  <c:v>164.24878902954501</c:v>
                </c:pt>
                <c:pt idx="173">
                  <c:v>358.08487104222849</c:v>
                </c:pt>
                <c:pt idx="174">
                  <c:v>306.46499500442798</c:v>
                </c:pt>
                <c:pt idx="175">
                  <c:v>301.63627022652219</c:v>
                </c:pt>
                <c:pt idx="176">
                  <c:v>152.3617008020972</c:v>
                </c:pt>
                <c:pt idx="177">
                  <c:v>334.24972453209551</c:v>
                </c:pt>
                <c:pt idx="178">
                  <c:v>249.2061065797084</c:v>
                </c:pt>
                <c:pt idx="179">
                  <c:v>210.75218105844201</c:v>
                </c:pt>
                <c:pt idx="180">
                  <c:v>53.109356215770227</c:v>
                </c:pt>
                <c:pt idx="181">
                  <c:v>174.01070647221209</c:v>
                </c:pt>
                <c:pt idx="182">
                  <c:v>26.503149872267361</c:v>
                </c:pt>
                <c:pt idx="183">
                  <c:v>232.46651355919781</c:v>
                </c:pt>
                <c:pt idx="184">
                  <c:v>424.2852982044131</c:v>
                </c:pt>
                <c:pt idx="185">
                  <c:v>137.98615256452311</c:v>
                </c:pt>
                <c:pt idx="186">
                  <c:v>48.347459853517712</c:v>
                </c:pt>
                <c:pt idx="187">
                  <c:v>66.23082691811392</c:v>
                </c:pt>
                <c:pt idx="188">
                  <c:v>168.5323393176478</c:v>
                </c:pt>
                <c:pt idx="189">
                  <c:v>74.039367197052073</c:v>
                </c:pt>
                <c:pt idx="190">
                  <c:v>139.7360029191338</c:v>
                </c:pt>
                <c:pt idx="191">
                  <c:v>284.89887806923491</c:v>
                </c:pt>
                <c:pt idx="192">
                  <c:v>166.84903818319759</c:v>
                </c:pt>
                <c:pt idx="193">
                  <c:v>222.74824702973299</c:v>
                </c:pt>
                <c:pt idx="194">
                  <c:v>394.27756224310878</c:v>
                </c:pt>
                <c:pt idx="195">
                  <c:v>73.822301572031392</c:v>
                </c:pt>
                <c:pt idx="196">
                  <c:v>361.50516839649339</c:v>
                </c:pt>
                <c:pt idx="197">
                  <c:v>153.9338148258494</c:v>
                </c:pt>
                <c:pt idx="198">
                  <c:v>435.59160254130501</c:v>
                </c:pt>
                <c:pt idx="199">
                  <c:v>252.0706312766543</c:v>
                </c:pt>
                <c:pt idx="200">
                  <c:v>375.976565527567</c:v>
                </c:pt>
                <c:pt idx="201">
                  <c:v>400.81438126996818</c:v>
                </c:pt>
                <c:pt idx="202">
                  <c:v>230.0837207114248</c:v>
                </c:pt>
                <c:pt idx="203">
                  <c:v>349.42139709341319</c:v>
                </c:pt>
                <c:pt idx="204">
                  <c:v>112.453418788137</c:v>
                </c:pt>
                <c:pt idx="205">
                  <c:v>149.15308234996189</c:v>
                </c:pt>
                <c:pt idx="206">
                  <c:v>239.40492139130609</c:v>
                </c:pt>
                <c:pt idx="207">
                  <c:v>240.87419414615891</c:v>
                </c:pt>
                <c:pt idx="208">
                  <c:v>118.30460254336199</c:v>
                </c:pt>
                <c:pt idx="209">
                  <c:v>329.66930463574278</c:v>
                </c:pt>
                <c:pt idx="210">
                  <c:v>192.4790105955129</c:v>
                </c:pt>
                <c:pt idx="211">
                  <c:v>263.32163737435621</c:v>
                </c:pt>
                <c:pt idx="212">
                  <c:v>351.51850011947079</c:v>
                </c:pt>
                <c:pt idx="213">
                  <c:v>268.9734861288394</c:v>
                </c:pt>
                <c:pt idx="214">
                  <c:v>164.7487222358364</c:v>
                </c:pt>
                <c:pt idx="215">
                  <c:v>161.35022503178271</c:v>
                </c:pt>
                <c:pt idx="216">
                  <c:v>217.55332155293101</c:v>
                </c:pt>
                <c:pt idx="217">
                  <c:v>130.58324720883741</c:v>
                </c:pt>
                <c:pt idx="218">
                  <c:v>216.95576150721291</c:v>
                </c:pt>
                <c:pt idx="219">
                  <c:v>156.674770431203</c:v>
                </c:pt>
                <c:pt idx="220">
                  <c:v>419.04308317539102</c:v>
                </c:pt>
                <c:pt idx="221">
                  <c:v>350.37831420294913</c:v>
                </c:pt>
                <c:pt idx="222">
                  <c:v>230.06039782958021</c:v>
                </c:pt>
                <c:pt idx="223">
                  <c:v>210.3062587360136</c:v>
                </c:pt>
                <c:pt idx="224">
                  <c:v>103.6429854487385</c:v>
                </c:pt>
                <c:pt idx="225">
                  <c:v>249.1632526720247</c:v>
                </c:pt>
                <c:pt idx="226">
                  <c:v>257.32749440580631</c:v>
                </c:pt>
                <c:pt idx="227">
                  <c:v>191.50603359188429</c:v>
                </c:pt>
                <c:pt idx="228">
                  <c:v>232.8442225756327</c:v>
                </c:pt>
                <c:pt idx="229">
                  <c:v>303.5347303095312</c:v>
                </c:pt>
                <c:pt idx="230">
                  <c:v>321.14169593040509</c:v>
                </c:pt>
                <c:pt idx="231">
                  <c:v>234.51492640592119</c:v>
                </c:pt>
                <c:pt idx="232">
                  <c:v>227.94993122115329</c:v>
                </c:pt>
                <c:pt idx="233">
                  <c:v>322.90069464799598</c:v>
                </c:pt>
                <c:pt idx="234">
                  <c:v>94.787398305570733</c:v>
                </c:pt>
                <c:pt idx="235">
                  <c:v>204.37962916892309</c:v>
                </c:pt>
                <c:pt idx="236">
                  <c:v>52.723876181888073</c:v>
                </c:pt>
                <c:pt idx="237">
                  <c:v>340.04887878458533</c:v>
                </c:pt>
                <c:pt idx="238">
                  <c:v>302.5293857547228</c:v>
                </c:pt>
                <c:pt idx="239">
                  <c:v>181.7037528605226</c:v>
                </c:pt>
                <c:pt idx="240">
                  <c:v>478.30170145838389</c:v>
                </c:pt>
                <c:pt idx="241">
                  <c:v>369.67042096987188</c:v>
                </c:pt>
                <c:pt idx="242">
                  <c:v>282.29172784568482</c:v>
                </c:pt>
                <c:pt idx="243">
                  <c:v>242.73813503970371</c:v>
                </c:pt>
                <c:pt idx="244">
                  <c:v>386.45034051581843</c:v>
                </c:pt>
                <c:pt idx="245">
                  <c:v>153.6303770187169</c:v>
                </c:pt>
                <c:pt idx="246">
                  <c:v>336.46315546483692</c:v>
                </c:pt>
                <c:pt idx="247">
                  <c:v>167.8003110929306</c:v>
                </c:pt>
                <c:pt idx="248">
                  <c:v>292.72692201382279</c:v>
                </c:pt>
                <c:pt idx="249">
                  <c:v>146.06323696967999</c:v>
                </c:pt>
                <c:pt idx="250">
                  <c:v>288.78034212179563</c:v>
                </c:pt>
                <c:pt idx="251">
                  <c:v>346.67286439355058</c:v>
                </c:pt>
                <c:pt idx="252">
                  <c:v>67.36649909414281</c:v>
                </c:pt>
                <c:pt idx="253">
                  <c:v>195.93492117403301</c:v>
                </c:pt>
                <c:pt idx="254">
                  <c:v>378.07648243339111</c:v>
                </c:pt>
                <c:pt idx="255">
                  <c:v>166.8136694122457</c:v>
                </c:pt>
                <c:pt idx="256">
                  <c:v>296.88515548541579</c:v>
                </c:pt>
                <c:pt idx="257">
                  <c:v>228.77963828569671</c:v>
                </c:pt>
                <c:pt idx="258">
                  <c:v>199.3391986630063</c:v>
                </c:pt>
                <c:pt idx="259">
                  <c:v>121.6137420651596</c:v>
                </c:pt>
                <c:pt idx="260">
                  <c:v>146.7965512463779</c:v>
                </c:pt>
                <c:pt idx="261">
                  <c:v>299.91255973725379</c:v>
                </c:pt>
                <c:pt idx="262">
                  <c:v>167.02533317956761</c:v>
                </c:pt>
                <c:pt idx="263">
                  <c:v>273.28113908592269</c:v>
                </c:pt>
                <c:pt idx="264">
                  <c:v>247.44848027081781</c:v>
                </c:pt>
                <c:pt idx="265">
                  <c:v>282.05400586035557</c:v>
                </c:pt>
                <c:pt idx="266">
                  <c:v>334.56311375477691</c:v>
                </c:pt>
                <c:pt idx="267">
                  <c:v>316.66789315861672</c:v>
                </c:pt>
                <c:pt idx="268">
                  <c:v>241.5575466816891</c:v>
                </c:pt>
                <c:pt idx="269">
                  <c:v>302.42024337605159</c:v>
                </c:pt>
                <c:pt idx="270">
                  <c:v>336.35002781502988</c:v>
                </c:pt>
                <c:pt idx="271">
                  <c:v>224.8626566480666</c:v>
                </c:pt>
                <c:pt idx="272">
                  <c:v>240.28634927403729</c:v>
                </c:pt>
                <c:pt idx="273">
                  <c:v>149.03257831244639</c:v>
                </c:pt>
                <c:pt idx="274">
                  <c:v>83.543015933175724</c:v>
                </c:pt>
                <c:pt idx="275">
                  <c:v>407.40370336913588</c:v>
                </c:pt>
                <c:pt idx="276">
                  <c:v>168.61094239592489</c:v>
                </c:pt>
                <c:pt idx="277">
                  <c:v>383.43663313137489</c:v>
                </c:pt>
                <c:pt idx="278">
                  <c:v>351.19844793121558</c:v>
                </c:pt>
                <c:pt idx="279">
                  <c:v>90.630703815935775</c:v>
                </c:pt>
                <c:pt idx="280">
                  <c:v>321.94510777075089</c:v>
                </c:pt>
                <c:pt idx="281">
                  <c:v>243.7343985513717</c:v>
                </c:pt>
                <c:pt idx="282">
                  <c:v>187.6524374889861</c:v>
                </c:pt>
                <c:pt idx="283">
                  <c:v>266.70169238215237</c:v>
                </c:pt>
                <c:pt idx="284">
                  <c:v>332.15172885501272</c:v>
                </c:pt>
                <c:pt idx="285">
                  <c:v>100.83933491011069</c:v>
                </c:pt>
                <c:pt idx="286">
                  <c:v>308.33063571022922</c:v>
                </c:pt>
                <c:pt idx="287">
                  <c:v>201.23736282624071</c:v>
                </c:pt>
                <c:pt idx="288">
                  <c:v>255.30151985510619</c:v>
                </c:pt>
                <c:pt idx="289">
                  <c:v>219.67515920196129</c:v>
                </c:pt>
                <c:pt idx="290">
                  <c:v>179.90292843144019</c:v>
                </c:pt>
                <c:pt idx="291">
                  <c:v>177.17462078491889</c:v>
                </c:pt>
                <c:pt idx="292">
                  <c:v>117.18712711247861</c:v>
                </c:pt>
                <c:pt idx="293">
                  <c:v>303.16165545251698</c:v>
                </c:pt>
                <c:pt idx="294">
                  <c:v>128.9735344964304</c:v>
                </c:pt>
                <c:pt idx="295">
                  <c:v>152.4510895240353</c:v>
                </c:pt>
                <c:pt idx="296">
                  <c:v>383.4673530328804</c:v>
                </c:pt>
                <c:pt idx="297">
                  <c:v>117.41667035252971</c:v>
                </c:pt>
                <c:pt idx="298">
                  <c:v>340.40415628165039</c:v>
                </c:pt>
                <c:pt idx="299">
                  <c:v>208.01441102731749</c:v>
                </c:pt>
                <c:pt idx="300">
                  <c:v>330.76296696025878</c:v>
                </c:pt>
                <c:pt idx="301">
                  <c:v>168.67385072502711</c:v>
                </c:pt>
                <c:pt idx="302">
                  <c:v>56.658045752659852</c:v>
                </c:pt>
                <c:pt idx="303">
                  <c:v>243.87983404151191</c:v>
                </c:pt>
                <c:pt idx="304">
                  <c:v>246.27898219555189</c:v>
                </c:pt>
                <c:pt idx="305">
                  <c:v>230.80411913157189</c:v>
                </c:pt>
                <c:pt idx="306">
                  <c:v>141.22108423637479</c:v>
                </c:pt>
                <c:pt idx="307">
                  <c:v>265.45209504129872</c:v>
                </c:pt>
                <c:pt idx="308">
                  <c:v>224.42976704522329</c:v>
                </c:pt>
                <c:pt idx="309">
                  <c:v>230.2907101778201</c:v>
                </c:pt>
                <c:pt idx="310">
                  <c:v>288.48254381210239</c:v>
                </c:pt>
                <c:pt idx="311">
                  <c:v>263.78940920801188</c:v>
                </c:pt>
                <c:pt idx="312">
                  <c:v>209.48971609247579</c:v>
                </c:pt>
                <c:pt idx="313">
                  <c:v>146.56556542504529</c:v>
                </c:pt>
                <c:pt idx="314">
                  <c:v>219.27138985060961</c:v>
                </c:pt>
                <c:pt idx="315">
                  <c:v>83.8480773239786</c:v>
                </c:pt>
                <c:pt idx="316">
                  <c:v>229.0224590702224</c:v>
                </c:pt>
                <c:pt idx="317">
                  <c:v>124.4903771368991</c:v>
                </c:pt>
                <c:pt idx="318">
                  <c:v>155.8782393101439</c:v>
                </c:pt>
                <c:pt idx="319">
                  <c:v>323.91027744159368</c:v>
                </c:pt>
                <c:pt idx="320">
                  <c:v>89.449820186649731</c:v>
                </c:pt>
                <c:pt idx="321">
                  <c:v>319.64781508557212</c:v>
                </c:pt>
                <c:pt idx="322">
                  <c:v>439.00755056800978</c:v>
                </c:pt>
                <c:pt idx="323">
                  <c:v>73.099741652983838</c:v>
                </c:pt>
                <c:pt idx="324">
                  <c:v>331.93352426120163</c:v>
                </c:pt>
                <c:pt idx="325">
                  <c:v>242.78908629168271</c:v>
                </c:pt>
                <c:pt idx="326">
                  <c:v>175.08148244866669</c:v>
                </c:pt>
                <c:pt idx="327">
                  <c:v>185.10326690500781</c:v>
                </c:pt>
                <c:pt idx="328">
                  <c:v>325.25258083918823</c:v>
                </c:pt>
                <c:pt idx="329">
                  <c:v>293.47031171224171</c:v>
                </c:pt>
                <c:pt idx="330">
                  <c:v>292.26475117838828</c:v>
                </c:pt>
                <c:pt idx="331">
                  <c:v>182.57226892608159</c:v>
                </c:pt>
                <c:pt idx="332">
                  <c:v>61.614712079404441</c:v>
                </c:pt>
                <c:pt idx="333">
                  <c:v>208.59824902686719</c:v>
                </c:pt>
                <c:pt idx="334">
                  <c:v>203.32308379252279</c:v>
                </c:pt>
                <c:pt idx="335">
                  <c:v>150.11267418962839</c:v>
                </c:pt>
                <c:pt idx="336">
                  <c:v>125.8869511047299</c:v>
                </c:pt>
                <c:pt idx="337">
                  <c:v>304.12673966121412</c:v>
                </c:pt>
                <c:pt idx="338">
                  <c:v>412.97922756307258</c:v>
                </c:pt>
                <c:pt idx="339">
                  <c:v>198.4314312148563</c:v>
                </c:pt>
                <c:pt idx="340">
                  <c:v>316.17832811626192</c:v>
                </c:pt>
                <c:pt idx="341">
                  <c:v>182.0454851053959</c:v>
                </c:pt>
                <c:pt idx="342">
                  <c:v>329.00129311887139</c:v>
                </c:pt>
                <c:pt idx="343">
                  <c:v>132.00400324325611</c:v>
                </c:pt>
                <c:pt idx="344">
                  <c:v>200.07655227302359</c:v>
                </c:pt>
                <c:pt idx="345">
                  <c:v>265.15577840878768</c:v>
                </c:pt>
                <c:pt idx="346">
                  <c:v>250.04870075463279</c:v>
                </c:pt>
                <c:pt idx="347">
                  <c:v>255.17071448257121</c:v>
                </c:pt>
                <c:pt idx="348">
                  <c:v>281.35985230290038</c:v>
                </c:pt>
                <c:pt idx="349">
                  <c:v>104.6805130922051</c:v>
                </c:pt>
                <c:pt idx="350">
                  <c:v>347.75309030979753</c:v>
                </c:pt>
                <c:pt idx="351">
                  <c:v>272.05029769717999</c:v>
                </c:pt>
                <c:pt idx="352">
                  <c:v>241.4926059605373</c:v>
                </c:pt>
                <c:pt idx="353">
                  <c:v>334.00120523880031</c:v>
                </c:pt>
                <c:pt idx="354">
                  <c:v>227.92809574179429</c:v>
                </c:pt>
                <c:pt idx="355">
                  <c:v>105.0917599145901</c:v>
                </c:pt>
                <c:pt idx="356">
                  <c:v>278.50256795471051</c:v>
                </c:pt>
                <c:pt idx="357">
                  <c:v>149.9584570407234</c:v>
                </c:pt>
                <c:pt idx="358">
                  <c:v>305.75300303316982</c:v>
                </c:pt>
                <c:pt idx="359">
                  <c:v>374.41002085235527</c:v>
                </c:pt>
                <c:pt idx="360">
                  <c:v>295.11605572772652</c:v>
                </c:pt>
                <c:pt idx="361">
                  <c:v>203.7759289067707</c:v>
                </c:pt>
                <c:pt idx="362">
                  <c:v>176.87601993317139</c:v>
                </c:pt>
                <c:pt idx="363">
                  <c:v>130.85963195618939</c:v>
                </c:pt>
                <c:pt idx="364">
                  <c:v>349.40697514418878</c:v>
                </c:pt>
                <c:pt idx="365">
                  <c:v>118.91145092363919</c:v>
                </c:pt>
                <c:pt idx="366">
                  <c:v>177.54597255359289</c:v>
                </c:pt>
                <c:pt idx="367">
                  <c:v>108.8559022886283</c:v>
                </c:pt>
                <c:pt idx="368">
                  <c:v>143.31715977734069</c:v>
                </c:pt>
                <c:pt idx="369">
                  <c:v>185.33747761458659</c:v>
                </c:pt>
                <c:pt idx="370">
                  <c:v>99.783072025847474</c:v>
                </c:pt>
                <c:pt idx="371">
                  <c:v>248.84718970186961</c:v>
                </c:pt>
                <c:pt idx="372">
                  <c:v>139.9493506913964</c:v>
                </c:pt>
                <c:pt idx="373">
                  <c:v>44.67157310424961</c:v>
                </c:pt>
                <c:pt idx="374">
                  <c:v>246.4647481037866</c:v>
                </c:pt>
                <c:pt idx="375">
                  <c:v>64.307381714008159</c:v>
                </c:pt>
                <c:pt idx="376">
                  <c:v>139.9076053008335</c:v>
                </c:pt>
                <c:pt idx="377">
                  <c:v>307.60198608442067</c:v>
                </c:pt>
                <c:pt idx="378">
                  <c:v>95.722088897748748</c:v>
                </c:pt>
                <c:pt idx="379">
                  <c:v>348.6902457180675</c:v>
                </c:pt>
                <c:pt idx="380">
                  <c:v>68.088745818721435</c:v>
                </c:pt>
                <c:pt idx="381">
                  <c:v>148.77591287270931</c:v>
                </c:pt>
                <c:pt idx="382">
                  <c:v>267.65922418735408</c:v>
                </c:pt>
                <c:pt idx="383">
                  <c:v>139.8629487971539</c:v>
                </c:pt>
                <c:pt idx="384">
                  <c:v>118.75733148230761</c:v>
                </c:pt>
                <c:pt idx="385">
                  <c:v>278.14751234323859</c:v>
                </c:pt>
                <c:pt idx="386">
                  <c:v>250.6377201343397</c:v>
                </c:pt>
                <c:pt idx="387">
                  <c:v>346.94280749292511</c:v>
                </c:pt>
                <c:pt idx="388">
                  <c:v>236.5485162042186</c:v>
                </c:pt>
                <c:pt idx="389">
                  <c:v>363.72039795157792</c:v>
                </c:pt>
                <c:pt idx="390">
                  <c:v>274.20001070234559</c:v>
                </c:pt>
                <c:pt idx="391">
                  <c:v>165.54517489118251</c:v>
                </c:pt>
                <c:pt idx="392">
                  <c:v>475.25150247497311</c:v>
                </c:pt>
                <c:pt idx="393">
                  <c:v>162.24068826038931</c:v>
                </c:pt>
                <c:pt idx="394">
                  <c:v>383.09381749554183</c:v>
                </c:pt>
                <c:pt idx="395">
                  <c:v>72.379060925045223</c:v>
                </c:pt>
                <c:pt idx="396">
                  <c:v>303.9776210012044</c:v>
                </c:pt>
                <c:pt idx="397">
                  <c:v>209.37102890964351</c:v>
                </c:pt>
                <c:pt idx="398">
                  <c:v>194.01984779147489</c:v>
                </c:pt>
                <c:pt idx="399">
                  <c:v>269.32953031708888</c:v>
                </c:pt>
                <c:pt idx="400">
                  <c:v>226.82736548004229</c:v>
                </c:pt>
                <c:pt idx="401">
                  <c:v>135.8249546124417</c:v>
                </c:pt>
                <c:pt idx="402">
                  <c:v>220.31304740761661</c:v>
                </c:pt>
                <c:pt idx="403">
                  <c:v>235.06372928110571</c:v>
                </c:pt>
                <c:pt idx="404">
                  <c:v>246.5727001468349</c:v>
                </c:pt>
                <c:pt idx="405">
                  <c:v>365.47849757773292</c:v>
                </c:pt>
                <c:pt idx="406">
                  <c:v>235.34517625425451</c:v>
                </c:pt>
                <c:pt idx="407">
                  <c:v>416.05409132285303</c:v>
                </c:pt>
                <c:pt idx="408">
                  <c:v>351.87357349792347</c:v>
                </c:pt>
                <c:pt idx="409">
                  <c:v>200.75334401152</c:v>
                </c:pt>
                <c:pt idx="410">
                  <c:v>126.67807465802311</c:v>
                </c:pt>
                <c:pt idx="411">
                  <c:v>344.99593587175377</c:v>
                </c:pt>
                <c:pt idx="412">
                  <c:v>240.75355805693499</c:v>
                </c:pt>
                <c:pt idx="413">
                  <c:v>57.419635190189382</c:v>
                </c:pt>
                <c:pt idx="414">
                  <c:v>229.45842354420091</c:v>
                </c:pt>
                <c:pt idx="415">
                  <c:v>326.02802545705561</c:v>
                </c:pt>
                <c:pt idx="416">
                  <c:v>217.70611504733529</c:v>
                </c:pt>
                <c:pt idx="417">
                  <c:v>297.87655104963011</c:v>
                </c:pt>
                <c:pt idx="418">
                  <c:v>244.58892465795111</c:v>
                </c:pt>
                <c:pt idx="419">
                  <c:v>75.996898331599681</c:v>
                </c:pt>
                <c:pt idx="420">
                  <c:v>176.72184445814531</c:v>
                </c:pt>
                <c:pt idx="421">
                  <c:v>173.98328109296151</c:v>
                </c:pt>
                <c:pt idx="422">
                  <c:v>108.1967772808398</c:v>
                </c:pt>
                <c:pt idx="423">
                  <c:v>196.91841221631671</c:v>
                </c:pt>
                <c:pt idx="424">
                  <c:v>205.1593221905616</c:v>
                </c:pt>
                <c:pt idx="425">
                  <c:v>322.32971679501031</c:v>
                </c:pt>
                <c:pt idx="426">
                  <c:v>305.61799605011811</c:v>
                </c:pt>
                <c:pt idx="427">
                  <c:v>119.07598579745989</c:v>
                </c:pt>
                <c:pt idx="428">
                  <c:v>308.13724555849382</c:v>
                </c:pt>
                <c:pt idx="429">
                  <c:v>222.89062737266389</c:v>
                </c:pt>
                <c:pt idx="430">
                  <c:v>347.54323431607742</c:v>
                </c:pt>
                <c:pt idx="431">
                  <c:v>173.99548594304309</c:v>
                </c:pt>
                <c:pt idx="432">
                  <c:v>264.90003634278298</c:v>
                </c:pt>
                <c:pt idx="433">
                  <c:v>373.85103984646292</c:v>
                </c:pt>
                <c:pt idx="434">
                  <c:v>228.25787527010129</c:v>
                </c:pt>
                <c:pt idx="435">
                  <c:v>83.375082820333688</c:v>
                </c:pt>
                <c:pt idx="436">
                  <c:v>333.25340850264558</c:v>
                </c:pt>
                <c:pt idx="437">
                  <c:v>205.00230895389541</c:v>
                </c:pt>
                <c:pt idx="438">
                  <c:v>229.12797339676411</c:v>
                </c:pt>
                <c:pt idx="439">
                  <c:v>219.14067320492191</c:v>
                </c:pt>
                <c:pt idx="440">
                  <c:v>262.05036613391331</c:v>
                </c:pt>
                <c:pt idx="441">
                  <c:v>389.47364123018281</c:v>
                </c:pt>
                <c:pt idx="442">
                  <c:v>113.2892783432558</c:v>
                </c:pt>
                <c:pt idx="443">
                  <c:v>363.88412048192959</c:v>
                </c:pt>
                <c:pt idx="444">
                  <c:v>157.16956674200259</c:v>
                </c:pt>
                <c:pt idx="445">
                  <c:v>115.0776342578723</c:v>
                </c:pt>
                <c:pt idx="446">
                  <c:v>108.0282156528563</c:v>
                </c:pt>
                <c:pt idx="447">
                  <c:v>88.343664045350252</c:v>
                </c:pt>
                <c:pt idx="448">
                  <c:v>256.61869263513341</c:v>
                </c:pt>
                <c:pt idx="449">
                  <c:v>135.97129987024169</c:v>
                </c:pt>
                <c:pt idx="450">
                  <c:v>307.8516532248488</c:v>
                </c:pt>
                <c:pt idx="451">
                  <c:v>152.13994140821339</c:v>
                </c:pt>
                <c:pt idx="452">
                  <c:v>201.97825522276401</c:v>
                </c:pt>
                <c:pt idx="453">
                  <c:v>155.38393703061459</c:v>
                </c:pt>
                <c:pt idx="454">
                  <c:v>134.24470765609681</c:v>
                </c:pt>
                <c:pt idx="455">
                  <c:v>120.45659807960909</c:v>
                </c:pt>
                <c:pt idx="456">
                  <c:v>146.9862197591558</c:v>
                </c:pt>
                <c:pt idx="457">
                  <c:v>218.95025719182379</c:v>
                </c:pt>
                <c:pt idx="458">
                  <c:v>273.61829828378029</c:v>
                </c:pt>
                <c:pt idx="459">
                  <c:v>201.39167254062889</c:v>
                </c:pt>
                <c:pt idx="460">
                  <c:v>241.67680397851441</c:v>
                </c:pt>
                <c:pt idx="461">
                  <c:v>60.303374128483561</c:v>
                </c:pt>
                <c:pt idx="462">
                  <c:v>162.73266766187689</c:v>
                </c:pt>
                <c:pt idx="463">
                  <c:v>321.76568884794091</c:v>
                </c:pt>
                <c:pt idx="464">
                  <c:v>175.119590028293</c:v>
                </c:pt>
                <c:pt idx="465">
                  <c:v>260.93592482885299</c:v>
                </c:pt>
                <c:pt idx="466">
                  <c:v>152.5685041584124</c:v>
                </c:pt>
                <c:pt idx="467">
                  <c:v>341.6665316877137</c:v>
                </c:pt>
                <c:pt idx="468">
                  <c:v>339.85350974787133</c:v>
                </c:pt>
                <c:pt idx="469">
                  <c:v>257.95337099181421</c:v>
                </c:pt>
                <c:pt idx="470">
                  <c:v>361.24108420534981</c:v>
                </c:pt>
                <c:pt idx="471">
                  <c:v>89.199779000613859</c:v>
                </c:pt>
                <c:pt idx="472">
                  <c:v>88.34047980802228</c:v>
                </c:pt>
                <c:pt idx="473">
                  <c:v>350.3916756544196</c:v>
                </c:pt>
                <c:pt idx="474">
                  <c:v>297.53878653134149</c:v>
                </c:pt>
                <c:pt idx="475">
                  <c:v>160.80175413697279</c:v>
                </c:pt>
                <c:pt idx="476">
                  <c:v>97.226478913966204</c:v>
                </c:pt>
                <c:pt idx="477">
                  <c:v>143.5344328213767</c:v>
                </c:pt>
                <c:pt idx="478">
                  <c:v>205.26743001317979</c:v>
                </c:pt>
                <c:pt idx="479">
                  <c:v>216.19334551153699</c:v>
                </c:pt>
                <c:pt idx="480">
                  <c:v>192.4406897704024</c:v>
                </c:pt>
                <c:pt idx="481">
                  <c:v>205.02963957090989</c:v>
                </c:pt>
                <c:pt idx="482">
                  <c:v>204.90315140459879</c:v>
                </c:pt>
                <c:pt idx="483">
                  <c:v>41.892434577990699</c:v>
                </c:pt>
                <c:pt idx="484">
                  <c:v>178.84761812326201</c:v>
                </c:pt>
                <c:pt idx="485">
                  <c:v>230.41679379541341</c:v>
                </c:pt>
                <c:pt idx="486">
                  <c:v>385.60303437714788</c:v>
                </c:pt>
                <c:pt idx="487">
                  <c:v>364.22892575223659</c:v>
                </c:pt>
                <c:pt idx="488">
                  <c:v>95.497631292187336</c:v>
                </c:pt>
                <c:pt idx="489">
                  <c:v>271.44260121359059</c:v>
                </c:pt>
                <c:pt idx="490">
                  <c:v>298.9451327513184</c:v>
                </c:pt>
                <c:pt idx="491">
                  <c:v>304.72046939738033</c:v>
                </c:pt>
                <c:pt idx="492">
                  <c:v>155.49080502065971</c:v>
                </c:pt>
                <c:pt idx="493">
                  <c:v>176.12000722560811</c:v>
                </c:pt>
                <c:pt idx="494">
                  <c:v>112.95248644144129</c:v>
                </c:pt>
                <c:pt idx="495">
                  <c:v>136.53361186196341</c:v>
                </c:pt>
                <c:pt idx="496">
                  <c:v>249.45093647709339</c:v>
                </c:pt>
                <c:pt idx="497">
                  <c:v>194.95058979216441</c:v>
                </c:pt>
                <c:pt idx="498">
                  <c:v>204.8568303790052</c:v>
                </c:pt>
                <c:pt idx="499">
                  <c:v>233.71249589588379</c:v>
                </c:pt>
                <c:pt idx="500">
                  <c:v>223.91173385290091</c:v>
                </c:pt>
                <c:pt idx="501">
                  <c:v>117.95483978002579</c:v>
                </c:pt>
                <c:pt idx="502">
                  <c:v>373.70176007215088</c:v>
                </c:pt>
                <c:pt idx="503">
                  <c:v>299.34927900137978</c:v>
                </c:pt>
                <c:pt idx="504">
                  <c:v>282.48049985127898</c:v>
                </c:pt>
                <c:pt idx="505">
                  <c:v>380.24520006238282</c:v>
                </c:pt>
                <c:pt idx="506">
                  <c:v>200.78408628723579</c:v>
                </c:pt>
                <c:pt idx="507">
                  <c:v>377.7044461789306</c:v>
                </c:pt>
                <c:pt idx="508">
                  <c:v>105.3077390589627</c:v>
                </c:pt>
                <c:pt idx="509">
                  <c:v>273.59715457035543</c:v>
                </c:pt>
                <c:pt idx="510">
                  <c:v>167.6079926850839</c:v>
                </c:pt>
                <c:pt idx="511">
                  <c:v>116.0074211712063</c:v>
                </c:pt>
                <c:pt idx="512">
                  <c:v>84.707157367764381</c:v>
                </c:pt>
                <c:pt idx="513">
                  <c:v>190.82500337472041</c:v>
                </c:pt>
                <c:pt idx="514">
                  <c:v>238.96969892020411</c:v>
                </c:pt>
                <c:pt idx="515">
                  <c:v>227.1621385610274</c:v>
                </c:pt>
                <c:pt idx="516">
                  <c:v>71.895278523591884</c:v>
                </c:pt>
                <c:pt idx="517">
                  <c:v>308.12202250380932</c:v>
                </c:pt>
                <c:pt idx="518">
                  <c:v>267.31417104479209</c:v>
                </c:pt>
                <c:pt idx="519">
                  <c:v>202.64553354272689</c:v>
                </c:pt>
                <c:pt idx="520">
                  <c:v>278.94997651688772</c:v>
                </c:pt>
                <c:pt idx="521">
                  <c:v>97.890274130965636</c:v>
                </c:pt>
                <c:pt idx="522">
                  <c:v>184.2581574358282</c:v>
                </c:pt>
                <c:pt idx="523">
                  <c:v>432.12037007887761</c:v>
                </c:pt>
                <c:pt idx="524">
                  <c:v>222.7128329808159</c:v>
                </c:pt>
                <c:pt idx="525">
                  <c:v>181.0164171723406</c:v>
                </c:pt>
                <c:pt idx="526">
                  <c:v>333.59075698520911</c:v>
                </c:pt>
                <c:pt idx="527">
                  <c:v>231.8267752184201</c:v>
                </c:pt>
                <c:pt idx="528">
                  <c:v>145.59582388854119</c:v>
                </c:pt>
                <c:pt idx="529">
                  <c:v>131.7262737619557</c:v>
                </c:pt>
                <c:pt idx="530">
                  <c:v>182.23457862649889</c:v>
                </c:pt>
                <c:pt idx="531">
                  <c:v>234.86310201600341</c:v>
                </c:pt>
                <c:pt idx="532">
                  <c:v>174.34375050205659</c:v>
                </c:pt>
                <c:pt idx="533">
                  <c:v>72.265355320689991</c:v>
                </c:pt>
                <c:pt idx="534">
                  <c:v>344.91914242755968</c:v>
                </c:pt>
                <c:pt idx="535">
                  <c:v>312.74334906555669</c:v>
                </c:pt>
                <c:pt idx="536">
                  <c:v>121.44296270980129</c:v>
                </c:pt>
                <c:pt idx="537">
                  <c:v>178.6396254681826</c:v>
                </c:pt>
                <c:pt idx="538">
                  <c:v>210.6756755937881</c:v>
                </c:pt>
                <c:pt idx="539">
                  <c:v>73.202658715666345</c:v>
                </c:pt>
                <c:pt idx="540">
                  <c:v>188.20881278807701</c:v>
                </c:pt>
                <c:pt idx="541">
                  <c:v>308.66032339013822</c:v>
                </c:pt>
                <c:pt idx="542">
                  <c:v>312.91468502103419</c:v>
                </c:pt>
                <c:pt idx="543">
                  <c:v>270.23452329949168</c:v>
                </c:pt>
                <c:pt idx="544">
                  <c:v>238.3900150146078</c:v>
                </c:pt>
                <c:pt idx="545">
                  <c:v>74.393426608254671</c:v>
                </c:pt>
                <c:pt idx="546">
                  <c:v>121.7167066853135</c:v>
                </c:pt>
                <c:pt idx="547">
                  <c:v>194.90544983970469</c:v>
                </c:pt>
                <c:pt idx="548">
                  <c:v>147.6245667088287</c:v>
                </c:pt>
                <c:pt idx="549">
                  <c:v>28.28762084385097</c:v>
                </c:pt>
                <c:pt idx="550">
                  <c:v>317.88441874509181</c:v>
                </c:pt>
                <c:pt idx="551">
                  <c:v>316.99841128129827</c:v>
                </c:pt>
                <c:pt idx="552">
                  <c:v>328.89578779745477</c:v>
                </c:pt>
                <c:pt idx="553">
                  <c:v>360.07594153722982</c:v>
                </c:pt>
                <c:pt idx="554">
                  <c:v>160.63102949124789</c:v>
                </c:pt>
                <c:pt idx="555">
                  <c:v>403.67874230677631</c:v>
                </c:pt>
                <c:pt idx="556">
                  <c:v>178.62362354241409</c:v>
                </c:pt>
                <c:pt idx="557">
                  <c:v>249.8702051087441</c:v>
                </c:pt>
                <c:pt idx="558">
                  <c:v>409.35356927586679</c:v>
                </c:pt>
                <c:pt idx="559">
                  <c:v>211.21375808837249</c:v>
                </c:pt>
                <c:pt idx="560">
                  <c:v>395.35928557662288</c:v>
                </c:pt>
                <c:pt idx="561">
                  <c:v>212.0785868601578</c:v>
                </c:pt>
                <c:pt idx="562">
                  <c:v>160.038720316351</c:v>
                </c:pt>
                <c:pt idx="563">
                  <c:v>127.7057367108391</c:v>
                </c:pt>
                <c:pt idx="564">
                  <c:v>198.18607471422561</c:v>
                </c:pt>
                <c:pt idx="565">
                  <c:v>101.47142871521871</c:v>
                </c:pt>
                <c:pt idx="566">
                  <c:v>202.30652567600711</c:v>
                </c:pt>
                <c:pt idx="567">
                  <c:v>261.00782481220551</c:v>
                </c:pt>
                <c:pt idx="568">
                  <c:v>83.183649577643791</c:v>
                </c:pt>
                <c:pt idx="569">
                  <c:v>299.59280103385822</c:v>
                </c:pt>
                <c:pt idx="570">
                  <c:v>366.78511008040471</c:v>
                </c:pt>
                <c:pt idx="571">
                  <c:v>403.94804039560228</c:v>
                </c:pt>
                <c:pt idx="572">
                  <c:v>372.3533921807458</c:v>
                </c:pt>
                <c:pt idx="573">
                  <c:v>235.27695770627511</c:v>
                </c:pt>
                <c:pt idx="574">
                  <c:v>458.57066132130552</c:v>
                </c:pt>
                <c:pt idx="575">
                  <c:v>272.84150582316789</c:v>
                </c:pt>
                <c:pt idx="576">
                  <c:v>114.56729340271001</c:v>
                </c:pt>
                <c:pt idx="577">
                  <c:v>140.56561789835911</c:v>
                </c:pt>
                <c:pt idx="578">
                  <c:v>209.5261504732841</c:v>
                </c:pt>
                <c:pt idx="579">
                  <c:v>152.04425892819361</c:v>
                </c:pt>
                <c:pt idx="580">
                  <c:v>335.8391217779573</c:v>
                </c:pt>
                <c:pt idx="581">
                  <c:v>188.38072845151891</c:v>
                </c:pt>
                <c:pt idx="582">
                  <c:v>97.964513215732396</c:v>
                </c:pt>
                <c:pt idx="583">
                  <c:v>197.2012942179152</c:v>
                </c:pt>
                <c:pt idx="584">
                  <c:v>427.30168630291098</c:v>
                </c:pt>
                <c:pt idx="585">
                  <c:v>213.79474555226571</c:v>
                </c:pt>
                <c:pt idx="586">
                  <c:v>159.8473448126052</c:v>
                </c:pt>
                <c:pt idx="587">
                  <c:v>146.33931822425319</c:v>
                </c:pt>
                <c:pt idx="588">
                  <c:v>130.813303698227</c:v>
                </c:pt>
                <c:pt idx="589">
                  <c:v>309.85214761330047</c:v>
                </c:pt>
                <c:pt idx="590">
                  <c:v>87.398740208188443</c:v>
                </c:pt>
                <c:pt idx="591">
                  <c:v>289.35433554737602</c:v>
                </c:pt>
                <c:pt idx="592">
                  <c:v>160.14950880410049</c:v>
                </c:pt>
                <c:pt idx="593">
                  <c:v>203.71052490816641</c:v>
                </c:pt>
                <c:pt idx="594">
                  <c:v>255.87559649847771</c:v>
                </c:pt>
                <c:pt idx="595">
                  <c:v>256.8145891699711</c:v>
                </c:pt>
                <c:pt idx="596">
                  <c:v>118.9586839610531</c:v>
                </c:pt>
                <c:pt idx="597">
                  <c:v>225.32379777381701</c:v>
                </c:pt>
                <c:pt idx="598">
                  <c:v>67.685802108222489</c:v>
                </c:pt>
                <c:pt idx="599">
                  <c:v>310.04148744929108</c:v>
                </c:pt>
                <c:pt idx="600">
                  <c:v>321.35500022239381</c:v>
                </c:pt>
                <c:pt idx="601">
                  <c:v>150.31264803676549</c:v>
                </c:pt>
                <c:pt idx="602">
                  <c:v>149.792226360277</c:v>
                </c:pt>
                <c:pt idx="603">
                  <c:v>241.53396597639789</c:v>
                </c:pt>
                <c:pt idx="604">
                  <c:v>300.80187351275572</c:v>
                </c:pt>
                <c:pt idx="605">
                  <c:v>366.09110181270268</c:v>
                </c:pt>
                <c:pt idx="606">
                  <c:v>76.550899942566247</c:v>
                </c:pt>
                <c:pt idx="607">
                  <c:v>318.22462324000878</c:v>
                </c:pt>
                <c:pt idx="608">
                  <c:v>126.365171761159</c:v>
                </c:pt>
                <c:pt idx="609">
                  <c:v>213.8356134662364</c:v>
                </c:pt>
                <c:pt idx="610">
                  <c:v>275.8095602549829</c:v>
                </c:pt>
                <c:pt idx="611">
                  <c:v>328.82937788594478</c:v>
                </c:pt>
                <c:pt idx="612">
                  <c:v>332.24439025209853</c:v>
                </c:pt>
                <c:pt idx="613">
                  <c:v>248.36191506687831</c:v>
                </c:pt>
                <c:pt idx="614">
                  <c:v>156.8934513157885</c:v>
                </c:pt>
                <c:pt idx="615">
                  <c:v>316.54384236811529</c:v>
                </c:pt>
                <c:pt idx="616">
                  <c:v>114.3031558715502</c:v>
                </c:pt>
                <c:pt idx="617">
                  <c:v>334.94077296501098</c:v>
                </c:pt>
                <c:pt idx="618">
                  <c:v>146.049624110552</c:v>
                </c:pt>
                <c:pt idx="619">
                  <c:v>259.33281237179779</c:v>
                </c:pt>
                <c:pt idx="620">
                  <c:v>162.68288656344211</c:v>
                </c:pt>
                <c:pt idx="621">
                  <c:v>210.16294120737419</c:v>
                </c:pt>
                <c:pt idx="622">
                  <c:v>424.45467996173312</c:v>
                </c:pt>
                <c:pt idx="623">
                  <c:v>174.594711214087</c:v>
                </c:pt>
                <c:pt idx="624">
                  <c:v>164.62990725695539</c:v>
                </c:pt>
                <c:pt idx="625">
                  <c:v>116.8154880199704</c:v>
                </c:pt>
                <c:pt idx="626">
                  <c:v>132.55294701926121</c:v>
                </c:pt>
                <c:pt idx="627">
                  <c:v>175.58675689796371</c:v>
                </c:pt>
                <c:pt idx="628">
                  <c:v>214.5898196058732</c:v>
                </c:pt>
                <c:pt idx="629">
                  <c:v>420.12262616827752</c:v>
                </c:pt>
                <c:pt idx="630">
                  <c:v>216.02804394685609</c:v>
                </c:pt>
                <c:pt idx="631">
                  <c:v>276.79229614788778</c:v>
                </c:pt>
                <c:pt idx="632">
                  <c:v>227.22145679164191</c:v>
                </c:pt>
                <c:pt idx="633">
                  <c:v>204.7596290276002</c:v>
                </c:pt>
                <c:pt idx="634">
                  <c:v>302.97301197888942</c:v>
                </c:pt>
                <c:pt idx="635">
                  <c:v>173.6351171302897</c:v>
                </c:pt>
                <c:pt idx="636">
                  <c:v>279.07024426453182</c:v>
                </c:pt>
                <c:pt idx="637">
                  <c:v>132.30134172661451</c:v>
                </c:pt>
                <c:pt idx="638">
                  <c:v>225.66682181398929</c:v>
                </c:pt>
                <c:pt idx="639">
                  <c:v>355.60669906419071</c:v>
                </c:pt>
                <c:pt idx="640">
                  <c:v>269.40425776242779</c:v>
                </c:pt>
                <c:pt idx="641">
                  <c:v>282.90095718257419</c:v>
                </c:pt>
                <c:pt idx="642">
                  <c:v>236.28948876653661</c:v>
                </c:pt>
                <c:pt idx="643">
                  <c:v>262.76916708013857</c:v>
                </c:pt>
                <c:pt idx="644">
                  <c:v>199.22862099705031</c:v>
                </c:pt>
                <c:pt idx="645">
                  <c:v>216.28281528704761</c:v>
                </c:pt>
                <c:pt idx="646">
                  <c:v>182.63620669035029</c:v>
                </c:pt>
                <c:pt idx="647">
                  <c:v>225.70919367858619</c:v>
                </c:pt>
                <c:pt idx="648">
                  <c:v>162.98456727153251</c:v>
                </c:pt>
                <c:pt idx="649">
                  <c:v>179.31130757449981</c:v>
                </c:pt>
                <c:pt idx="650">
                  <c:v>388.25743586117272</c:v>
                </c:pt>
                <c:pt idx="651">
                  <c:v>181.10190310200761</c:v>
                </c:pt>
                <c:pt idx="652">
                  <c:v>76.746415744275424</c:v>
                </c:pt>
                <c:pt idx="653">
                  <c:v>60.434050808991188</c:v>
                </c:pt>
                <c:pt idx="654">
                  <c:v>425.72729742783628</c:v>
                </c:pt>
                <c:pt idx="655">
                  <c:v>211.57779042405249</c:v>
                </c:pt>
                <c:pt idx="656">
                  <c:v>180.61503289683199</c:v>
                </c:pt>
                <c:pt idx="657">
                  <c:v>296.34195669743002</c:v>
                </c:pt>
                <c:pt idx="658">
                  <c:v>386.9376556151197</c:v>
                </c:pt>
                <c:pt idx="659">
                  <c:v>133.97797001645941</c:v>
                </c:pt>
                <c:pt idx="660">
                  <c:v>223.34897430749351</c:v>
                </c:pt>
                <c:pt idx="661">
                  <c:v>363.59201618925658</c:v>
                </c:pt>
                <c:pt idx="662">
                  <c:v>219.71486147320351</c:v>
                </c:pt>
                <c:pt idx="663">
                  <c:v>126.99785111468221</c:v>
                </c:pt>
                <c:pt idx="664">
                  <c:v>367.63930984041372</c:v>
                </c:pt>
                <c:pt idx="665">
                  <c:v>210.29112292550749</c:v>
                </c:pt>
                <c:pt idx="666">
                  <c:v>126.20860888472281</c:v>
                </c:pt>
                <c:pt idx="667">
                  <c:v>144.59094248570099</c:v>
                </c:pt>
                <c:pt idx="668">
                  <c:v>178.56926635310549</c:v>
                </c:pt>
                <c:pt idx="669">
                  <c:v>84.276889685775259</c:v>
                </c:pt>
                <c:pt idx="670">
                  <c:v>226.1286476086764</c:v>
                </c:pt>
                <c:pt idx="671">
                  <c:v>63.139444428043461</c:v>
                </c:pt>
                <c:pt idx="672">
                  <c:v>148.90814073316881</c:v>
                </c:pt>
                <c:pt idx="673">
                  <c:v>329.58765644138037</c:v>
                </c:pt>
                <c:pt idx="674">
                  <c:v>57.954853951555151</c:v>
                </c:pt>
                <c:pt idx="675">
                  <c:v>472.19387859043093</c:v>
                </c:pt>
                <c:pt idx="676">
                  <c:v>107.65623280311389</c:v>
                </c:pt>
                <c:pt idx="677">
                  <c:v>164.8695142038562</c:v>
                </c:pt>
                <c:pt idx="678">
                  <c:v>118.65308787306149</c:v>
                </c:pt>
                <c:pt idx="679">
                  <c:v>145.86505722743411</c:v>
                </c:pt>
                <c:pt idx="680">
                  <c:v>118.4480484075674</c:v>
                </c:pt>
                <c:pt idx="681">
                  <c:v>311.61423681555652</c:v>
                </c:pt>
                <c:pt idx="682">
                  <c:v>376.81864921751202</c:v>
                </c:pt>
                <c:pt idx="683">
                  <c:v>135.5234479016886</c:v>
                </c:pt>
                <c:pt idx="684">
                  <c:v>332.57818271743821</c:v>
                </c:pt>
                <c:pt idx="685">
                  <c:v>344.81511865328969</c:v>
                </c:pt>
                <c:pt idx="686">
                  <c:v>298.62283417511719</c:v>
                </c:pt>
                <c:pt idx="687">
                  <c:v>230.4718610806234</c:v>
                </c:pt>
                <c:pt idx="688">
                  <c:v>160.951761062657</c:v>
                </c:pt>
                <c:pt idx="689">
                  <c:v>253.66243722551749</c:v>
                </c:pt>
                <c:pt idx="690">
                  <c:v>232.72821261014741</c:v>
                </c:pt>
                <c:pt idx="691">
                  <c:v>365.68678889339202</c:v>
                </c:pt>
                <c:pt idx="692">
                  <c:v>119.9170993578352</c:v>
                </c:pt>
                <c:pt idx="693">
                  <c:v>194.52122625920899</c:v>
                </c:pt>
                <c:pt idx="694">
                  <c:v>246.78021666461001</c:v>
                </c:pt>
                <c:pt idx="695">
                  <c:v>343.24293886478972</c:v>
                </c:pt>
                <c:pt idx="696">
                  <c:v>355.55299265835168</c:v>
                </c:pt>
                <c:pt idx="697">
                  <c:v>358.28135451383099</c:v>
                </c:pt>
                <c:pt idx="698">
                  <c:v>138.02689279264399</c:v>
                </c:pt>
                <c:pt idx="699">
                  <c:v>301.02448290997791</c:v>
                </c:pt>
                <c:pt idx="700">
                  <c:v>230.6792330785</c:v>
                </c:pt>
                <c:pt idx="701">
                  <c:v>151.9796224585854</c:v>
                </c:pt>
                <c:pt idx="702">
                  <c:v>218.02848576123671</c:v>
                </c:pt>
                <c:pt idx="703">
                  <c:v>273.35748669558762</c:v>
                </c:pt>
                <c:pt idx="704">
                  <c:v>151.04365486486529</c:v>
                </c:pt>
                <c:pt idx="705">
                  <c:v>309.54324643132361</c:v>
                </c:pt>
                <c:pt idx="706">
                  <c:v>268.77250006525333</c:v>
                </c:pt>
                <c:pt idx="707">
                  <c:v>329.99035716897788</c:v>
                </c:pt>
                <c:pt idx="708">
                  <c:v>57.16179852433045</c:v>
                </c:pt>
                <c:pt idx="709">
                  <c:v>121.2995439521023</c:v>
                </c:pt>
                <c:pt idx="710">
                  <c:v>260.67366026909542</c:v>
                </c:pt>
                <c:pt idx="711">
                  <c:v>239.9523892363496</c:v>
                </c:pt>
                <c:pt idx="712">
                  <c:v>278.13858005322982</c:v>
                </c:pt>
                <c:pt idx="713">
                  <c:v>328.38032203417328</c:v>
                </c:pt>
                <c:pt idx="714">
                  <c:v>146.72971791105559</c:v>
                </c:pt>
                <c:pt idx="715">
                  <c:v>247.0144058004233</c:v>
                </c:pt>
                <c:pt idx="716">
                  <c:v>204.58691237445311</c:v>
                </c:pt>
                <c:pt idx="717">
                  <c:v>158.76850359507239</c:v>
                </c:pt>
                <c:pt idx="718">
                  <c:v>361.0762060371419</c:v>
                </c:pt>
                <c:pt idx="719">
                  <c:v>220.32855161647529</c:v>
                </c:pt>
                <c:pt idx="720">
                  <c:v>260.66251192618228</c:v>
                </c:pt>
                <c:pt idx="721">
                  <c:v>336.65841387642871</c:v>
                </c:pt>
                <c:pt idx="722">
                  <c:v>233.97394428048381</c:v>
                </c:pt>
                <c:pt idx="723">
                  <c:v>365.62595934790812</c:v>
                </c:pt>
                <c:pt idx="724">
                  <c:v>390.14200636801593</c:v>
                </c:pt>
                <c:pt idx="725">
                  <c:v>335.15174847835613</c:v>
                </c:pt>
                <c:pt idx="726">
                  <c:v>319.01848470677669</c:v>
                </c:pt>
                <c:pt idx="727">
                  <c:v>131.4956457690117</c:v>
                </c:pt>
                <c:pt idx="728">
                  <c:v>320.48264321346261</c:v>
                </c:pt>
                <c:pt idx="729">
                  <c:v>91.672312314308158</c:v>
                </c:pt>
                <c:pt idx="730">
                  <c:v>132.71083929102639</c:v>
                </c:pt>
                <c:pt idx="731">
                  <c:v>162.9467335299332</c:v>
                </c:pt>
                <c:pt idx="732">
                  <c:v>350.22359991007579</c:v>
                </c:pt>
                <c:pt idx="733">
                  <c:v>280.62235559401228</c:v>
                </c:pt>
                <c:pt idx="734">
                  <c:v>286.01778914712321</c:v>
                </c:pt>
                <c:pt idx="735">
                  <c:v>258.41487609035869</c:v>
                </c:pt>
                <c:pt idx="736">
                  <c:v>210.41816607576209</c:v>
                </c:pt>
                <c:pt idx="737">
                  <c:v>385.19429875893911</c:v>
                </c:pt>
                <c:pt idx="738">
                  <c:v>190.07051067435179</c:v>
                </c:pt>
                <c:pt idx="739">
                  <c:v>172.98549606883489</c:v>
                </c:pt>
                <c:pt idx="740">
                  <c:v>214.7379642302798</c:v>
                </c:pt>
                <c:pt idx="741">
                  <c:v>257.16103980379899</c:v>
                </c:pt>
                <c:pt idx="742">
                  <c:v>340.18565330417653</c:v>
                </c:pt>
                <c:pt idx="743">
                  <c:v>128.71913601284319</c:v>
                </c:pt>
                <c:pt idx="744">
                  <c:v>133.37657598667019</c:v>
                </c:pt>
                <c:pt idx="745">
                  <c:v>261.84020902597013</c:v>
                </c:pt>
                <c:pt idx="746">
                  <c:v>63.831418010944567</c:v>
                </c:pt>
                <c:pt idx="747">
                  <c:v>227.34088034123491</c:v>
                </c:pt>
                <c:pt idx="748">
                  <c:v>323.40161191767618</c:v>
                </c:pt>
                <c:pt idx="749">
                  <c:v>206.75347566098711</c:v>
                </c:pt>
                <c:pt idx="750">
                  <c:v>167.45469721331929</c:v>
                </c:pt>
                <c:pt idx="751">
                  <c:v>260.68978593797169</c:v>
                </c:pt>
                <c:pt idx="752">
                  <c:v>326.81279473896569</c:v>
                </c:pt>
                <c:pt idx="753">
                  <c:v>227.68343682313761</c:v>
                </c:pt>
                <c:pt idx="754">
                  <c:v>354.94116351077349</c:v>
                </c:pt>
                <c:pt idx="755">
                  <c:v>149.05607118547459</c:v>
                </c:pt>
                <c:pt idx="756">
                  <c:v>227.5989571991762</c:v>
                </c:pt>
                <c:pt idx="757">
                  <c:v>277.96051285375842</c:v>
                </c:pt>
                <c:pt idx="758">
                  <c:v>420.46481783421058</c:v>
                </c:pt>
                <c:pt idx="759">
                  <c:v>214.96021966700931</c:v>
                </c:pt>
                <c:pt idx="760">
                  <c:v>249.99121094434989</c:v>
                </c:pt>
                <c:pt idx="761">
                  <c:v>251.44613846824049</c:v>
                </c:pt>
                <c:pt idx="762">
                  <c:v>145.20383312333891</c:v>
                </c:pt>
                <c:pt idx="763">
                  <c:v>97.423262538395733</c:v>
                </c:pt>
                <c:pt idx="764">
                  <c:v>376.23121298014507</c:v>
                </c:pt>
                <c:pt idx="765">
                  <c:v>123.6592330469159</c:v>
                </c:pt>
                <c:pt idx="766">
                  <c:v>104.87616513632121</c:v>
                </c:pt>
                <c:pt idx="767">
                  <c:v>108.0472039125265</c:v>
                </c:pt>
                <c:pt idx="768">
                  <c:v>277.04285665007012</c:v>
                </c:pt>
                <c:pt idx="769">
                  <c:v>242.6879574959901</c:v>
                </c:pt>
                <c:pt idx="770">
                  <c:v>308.08606358056937</c:v>
                </c:pt>
                <c:pt idx="771">
                  <c:v>248.8541792417779</c:v>
                </c:pt>
                <c:pt idx="772">
                  <c:v>211.2311379923849</c:v>
                </c:pt>
                <c:pt idx="773">
                  <c:v>208.5767080900599</c:v>
                </c:pt>
                <c:pt idx="774">
                  <c:v>274.16593827090742</c:v>
                </c:pt>
                <c:pt idx="775">
                  <c:v>345.88344886952899</c:v>
                </c:pt>
                <c:pt idx="776">
                  <c:v>145.5579822989815</c:v>
                </c:pt>
                <c:pt idx="777">
                  <c:v>219.74916516872051</c:v>
                </c:pt>
                <c:pt idx="778">
                  <c:v>90.025332741688743</c:v>
                </c:pt>
                <c:pt idx="779">
                  <c:v>144.81392223993009</c:v>
                </c:pt>
                <c:pt idx="780">
                  <c:v>108.1626160183894</c:v>
                </c:pt>
                <c:pt idx="781">
                  <c:v>235.87326138547519</c:v>
                </c:pt>
                <c:pt idx="782">
                  <c:v>126.03802391041999</c:v>
                </c:pt>
                <c:pt idx="783">
                  <c:v>246.2237258446678</c:v>
                </c:pt>
                <c:pt idx="784">
                  <c:v>129.08269457432729</c:v>
                </c:pt>
                <c:pt idx="785">
                  <c:v>284.61777456543098</c:v>
                </c:pt>
                <c:pt idx="786">
                  <c:v>253.68036533539421</c:v>
                </c:pt>
                <c:pt idx="787">
                  <c:v>29.10171353388435</c:v>
                </c:pt>
                <c:pt idx="788">
                  <c:v>338.37389496906411</c:v>
                </c:pt>
                <c:pt idx="789">
                  <c:v>246.68150615317089</c:v>
                </c:pt>
                <c:pt idx="790">
                  <c:v>189.43034912091909</c:v>
                </c:pt>
                <c:pt idx="791">
                  <c:v>395.54146079509792</c:v>
                </c:pt>
                <c:pt idx="792">
                  <c:v>151.48830380851419</c:v>
                </c:pt>
                <c:pt idx="793">
                  <c:v>133.68559514789561</c:v>
                </c:pt>
                <c:pt idx="794">
                  <c:v>189.39540578284161</c:v>
                </c:pt>
                <c:pt idx="795">
                  <c:v>343.43255154777461</c:v>
                </c:pt>
                <c:pt idx="796">
                  <c:v>228.61726546868411</c:v>
                </c:pt>
                <c:pt idx="797">
                  <c:v>269.60453039469928</c:v>
                </c:pt>
                <c:pt idx="798">
                  <c:v>239.9287925455304</c:v>
                </c:pt>
                <c:pt idx="799">
                  <c:v>111.2784394247706</c:v>
                </c:pt>
                <c:pt idx="800">
                  <c:v>189.595310901088</c:v>
                </c:pt>
                <c:pt idx="801">
                  <c:v>263.99340710632612</c:v>
                </c:pt>
                <c:pt idx="802">
                  <c:v>195.6254789509386</c:v>
                </c:pt>
                <c:pt idx="803">
                  <c:v>138.59212539179069</c:v>
                </c:pt>
                <c:pt idx="804">
                  <c:v>155.65815637797849</c:v>
                </c:pt>
                <c:pt idx="805">
                  <c:v>184.81833398198631</c:v>
                </c:pt>
                <c:pt idx="806">
                  <c:v>370.1400116422933</c:v>
                </c:pt>
                <c:pt idx="807">
                  <c:v>74.535727784591103</c:v>
                </c:pt>
                <c:pt idx="808">
                  <c:v>228.77773084856031</c:v>
                </c:pt>
                <c:pt idx="809">
                  <c:v>215.57070670459851</c:v>
                </c:pt>
                <c:pt idx="810">
                  <c:v>372.49206072734307</c:v>
                </c:pt>
                <c:pt idx="811">
                  <c:v>100.6277938935484</c:v>
                </c:pt>
                <c:pt idx="812">
                  <c:v>176.4256766812635</c:v>
                </c:pt>
                <c:pt idx="813">
                  <c:v>347.45043336891518</c:v>
                </c:pt>
                <c:pt idx="814">
                  <c:v>311.2181051451438</c:v>
                </c:pt>
                <c:pt idx="815">
                  <c:v>143.3928776786581</c:v>
                </c:pt>
                <c:pt idx="816">
                  <c:v>210.14314148516991</c:v>
                </c:pt>
                <c:pt idx="817">
                  <c:v>207.21255129559421</c:v>
                </c:pt>
                <c:pt idx="818">
                  <c:v>105.62426858109291</c:v>
                </c:pt>
                <c:pt idx="819">
                  <c:v>127.11252829372729</c:v>
                </c:pt>
                <c:pt idx="820">
                  <c:v>252.8819844660882</c:v>
                </c:pt>
                <c:pt idx="821">
                  <c:v>116.83103290966081</c:v>
                </c:pt>
                <c:pt idx="822">
                  <c:v>144.85712891561019</c:v>
                </c:pt>
                <c:pt idx="823">
                  <c:v>337.464202022385</c:v>
                </c:pt>
                <c:pt idx="824">
                  <c:v>361.20538663342529</c:v>
                </c:pt>
                <c:pt idx="825">
                  <c:v>282.53640331984752</c:v>
                </c:pt>
                <c:pt idx="826">
                  <c:v>60.61880671529407</c:v>
                </c:pt>
                <c:pt idx="827">
                  <c:v>141.8299259232802</c:v>
                </c:pt>
                <c:pt idx="828">
                  <c:v>413.00493957417513</c:v>
                </c:pt>
                <c:pt idx="829">
                  <c:v>117.1164143317442</c:v>
                </c:pt>
                <c:pt idx="830">
                  <c:v>147.08802046685221</c:v>
                </c:pt>
                <c:pt idx="831">
                  <c:v>304.39299989089938</c:v>
                </c:pt>
                <c:pt idx="832">
                  <c:v>239.90052435511399</c:v>
                </c:pt>
                <c:pt idx="833">
                  <c:v>256.26220020752947</c:v>
                </c:pt>
                <c:pt idx="834">
                  <c:v>112.378401590241</c:v>
                </c:pt>
                <c:pt idx="835">
                  <c:v>57.205099298791502</c:v>
                </c:pt>
                <c:pt idx="836">
                  <c:v>389.62951894814671</c:v>
                </c:pt>
                <c:pt idx="837">
                  <c:v>141.1892434508807</c:v>
                </c:pt>
                <c:pt idx="838">
                  <c:v>261.85159567347841</c:v>
                </c:pt>
                <c:pt idx="839">
                  <c:v>304.30907841906219</c:v>
                </c:pt>
                <c:pt idx="840">
                  <c:v>282.25653413246971</c:v>
                </c:pt>
                <c:pt idx="841">
                  <c:v>141.4984887870543</c:v>
                </c:pt>
                <c:pt idx="842">
                  <c:v>157.20384207914009</c:v>
                </c:pt>
                <c:pt idx="843">
                  <c:v>372.22870929343492</c:v>
                </c:pt>
                <c:pt idx="844">
                  <c:v>390.56460631752901</c:v>
                </c:pt>
                <c:pt idx="845">
                  <c:v>317.57398510453442</c:v>
                </c:pt>
                <c:pt idx="846">
                  <c:v>81.135987252099085</c:v>
                </c:pt>
                <c:pt idx="847">
                  <c:v>194.6589155900995</c:v>
                </c:pt>
                <c:pt idx="848">
                  <c:v>346.25003909760932</c:v>
                </c:pt>
                <c:pt idx="849">
                  <c:v>245.72114221553429</c:v>
                </c:pt>
                <c:pt idx="850">
                  <c:v>259.00932823371539</c:v>
                </c:pt>
                <c:pt idx="851">
                  <c:v>160.40058649607019</c:v>
                </c:pt>
                <c:pt idx="852">
                  <c:v>272.17428224401863</c:v>
                </c:pt>
                <c:pt idx="853">
                  <c:v>208.70365014611241</c:v>
                </c:pt>
                <c:pt idx="854">
                  <c:v>235.44070493170881</c:v>
                </c:pt>
                <c:pt idx="855">
                  <c:v>157.24938544201311</c:v>
                </c:pt>
                <c:pt idx="856">
                  <c:v>40.463435643455391</c:v>
                </c:pt>
                <c:pt idx="857">
                  <c:v>311.59653349162818</c:v>
                </c:pt>
                <c:pt idx="858">
                  <c:v>105.69544864763451</c:v>
                </c:pt>
                <c:pt idx="859">
                  <c:v>178.56464438398359</c:v>
                </c:pt>
                <c:pt idx="860">
                  <c:v>320.58928692646782</c:v>
                </c:pt>
                <c:pt idx="861">
                  <c:v>188.6566551716727</c:v>
                </c:pt>
                <c:pt idx="862">
                  <c:v>357.0588819273969</c:v>
                </c:pt>
                <c:pt idx="863">
                  <c:v>87.36553428424557</c:v>
                </c:pt>
                <c:pt idx="864">
                  <c:v>288.63901884120332</c:v>
                </c:pt>
                <c:pt idx="865">
                  <c:v>336.22440617915589</c:v>
                </c:pt>
                <c:pt idx="866">
                  <c:v>98.090634124480459</c:v>
                </c:pt>
                <c:pt idx="867">
                  <c:v>111.1614365708153</c:v>
                </c:pt>
                <c:pt idx="868">
                  <c:v>156.53157924466271</c:v>
                </c:pt>
                <c:pt idx="869">
                  <c:v>161.67490999744899</c:v>
                </c:pt>
                <c:pt idx="870">
                  <c:v>301.62450589532642</c:v>
                </c:pt>
                <c:pt idx="871">
                  <c:v>310.44825517027539</c:v>
                </c:pt>
                <c:pt idx="872">
                  <c:v>223.32518907950421</c:v>
                </c:pt>
                <c:pt idx="873">
                  <c:v>166.97605145123251</c:v>
                </c:pt>
                <c:pt idx="874">
                  <c:v>166.62644478907811</c:v>
                </c:pt>
                <c:pt idx="875">
                  <c:v>351.62380004805891</c:v>
                </c:pt>
                <c:pt idx="876">
                  <c:v>65.084324599912804</c:v>
                </c:pt>
                <c:pt idx="877">
                  <c:v>245.14075935154909</c:v>
                </c:pt>
                <c:pt idx="878">
                  <c:v>390.80113187062142</c:v>
                </c:pt>
                <c:pt idx="879">
                  <c:v>263.90666076186841</c:v>
                </c:pt>
                <c:pt idx="880">
                  <c:v>118.33916719054371</c:v>
                </c:pt>
                <c:pt idx="881">
                  <c:v>218.66574252944301</c:v>
                </c:pt>
                <c:pt idx="882">
                  <c:v>167.57289561886029</c:v>
                </c:pt>
                <c:pt idx="883">
                  <c:v>143.81827917758429</c:v>
                </c:pt>
                <c:pt idx="884">
                  <c:v>280.75078513100158</c:v>
                </c:pt>
                <c:pt idx="885">
                  <c:v>308.31393066657222</c:v>
                </c:pt>
                <c:pt idx="886">
                  <c:v>88.357171037813544</c:v>
                </c:pt>
                <c:pt idx="887">
                  <c:v>93.904364473773001</c:v>
                </c:pt>
                <c:pt idx="888">
                  <c:v>178.60695033453371</c:v>
                </c:pt>
                <c:pt idx="889">
                  <c:v>177.92869023840461</c:v>
                </c:pt>
                <c:pt idx="890">
                  <c:v>187.97989241396439</c:v>
                </c:pt>
                <c:pt idx="891">
                  <c:v>104.4000007032181</c:v>
                </c:pt>
                <c:pt idx="892">
                  <c:v>225.881730805621</c:v>
                </c:pt>
                <c:pt idx="893">
                  <c:v>430.96979171291667</c:v>
                </c:pt>
                <c:pt idx="894">
                  <c:v>300.99411490334069</c:v>
                </c:pt>
                <c:pt idx="895">
                  <c:v>313.04647778968149</c:v>
                </c:pt>
                <c:pt idx="896">
                  <c:v>61.183246840569772</c:v>
                </c:pt>
                <c:pt idx="897">
                  <c:v>353.72785242128248</c:v>
                </c:pt>
                <c:pt idx="898">
                  <c:v>297.35275890253081</c:v>
                </c:pt>
                <c:pt idx="899">
                  <c:v>256.38428302865009</c:v>
                </c:pt>
                <c:pt idx="900">
                  <c:v>235.9826579327345</c:v>
                </c:pt>
                <c:pt idx="901">
                  <c:v>343.1506571382119</c:v>
                </c:pt>
                <c:pt idx="902">
                  <c:v>215.99243359333619</c:v>
                </c:pt>
                <c:pt idx="903">
                  <c:v>219.56120857810879</c:v>
                </c:pt>
                <c:pt idx="904">
                  <c:v>245.14886930368189</c:v>
                </c:pt>
                <c:pt idx="905">
                  <c:v>273.44866436234128</c:v>
                </c:pt>
                <c:pt idx="906">
                  <c:v>240.4480179464594</c:v>
                </c:pt>
                <c:pt idx="907">
                  <c:v>213.2753338627507</c:v>
                </c:pt>
                <c:pt idx="908">
                  <c:v>176.22412145413571</c:v>
                </c:pt>
                <c:pt idx="909">
                  <c:v>210.55829367851709</c:v>
                </c:pt>
                <c:pt idx="910">
                  <c:v>259.04127574583242</c:v>
                </c:pt>
                <c:pt idx="911">
                  <c:v>264.04907153877417</c:v>
                </c:pt>
                <c:pt idx="912">
                  <c:v>254.06140282281419</c:v>
                </c:pt>
                <c:pt idx="913">
                  <c:v>152.48674963388569</c:v>
                </c:pt>
                <c:pt idx="914">
                  <c:v>284.8725976191551</c:v>
                </c:pt>
                <c:pt idx="915">
                  <c:v>312.81956273293338</c:v>
                </c:pt>
                <c:pt idx="916">
                  <c:v>280.02119571975021</c:v>
                </c:pt>
                <c:pt idx="917">
                  <c:v>337.63349610355863</c:v>
                </c:pt>
                <c:pt idx="918">
                  <c:v>221.9059887562012</c:v>
                </c:pt>
                <c:pt idx="919">
                  <c:v>212.65867986843071</c:v>
                </c:pt>
                <c:pt idx="920">
                  <c:v>84.519923050204454</c:v>
                </c:pt>
                <c:pt idx="921">
                  <c:v>372.71957857970779</c:v>
                </c:pt>
                <c:pt idx="922">
                  <c:v>264.80858027650862</c:v>
                </c:pt>
                <c:pt idx="923">
                  <c:v>139.9959886599068</c:v>
                </c:pt>
                <c:pt idx="924">
                  <c:v>200.29828651489171</c:v>
                </c:pt>
                <c:pt idx="925">
                  <c:v>324.63274277697002</c:v>
                </c:pt>
                <c:pt idx="926">
                  <c:v>96.709235664499772</c:v>
                </c:pt>
                <c:pt idx="927">
                  <c:v>366.65700096781222</c:v>
                </c:pt>
                <c:pt idx="928">
                  <c:v>157.40455315903489</c:v>
                </c:pt>
                <c:pt idx="929">
                  <c:v>241.41861152404229</c:v>
                </c:pt>
                <c:pt idx="930">
                  <c:v>69.726973882604497</c:v>
                </c:pt>
                <c:pt idx="931">
                  <c:v>138.8298040765834</c:v>
                </c:pt>
                <c:pt idx="932">
                  <c:v>253.62514355170799</c:v>
                </c:pt>
                <c:pt idx="933">
                  <c:v>52.165030112587978</c:v>
                </c:pt>
                <c:pt idx="934">
                  <c:v>335.40329941503393</c:v>
                </c:pt>
                <c:pt idx="935">
                  <c:v>285.73116867411181</c:v>
                </c:pt>
                <c:pt idx="936">
                  <c:v>56.891393817139999</c:v>
                </c:pt>
                <c:pt idx="937">
                  <c:v>281.00281645847258</c:v>
                </c:pt>
                <c:pt idx="938">
                  <c:v>173.20102982095409</c:v>
                </c:pt>
                <c:pt idx="939">
                  <c:v>260.20443986876751</c:v>
                </c:pt>
                <c:pt idx="940">
                  <c:v>125.22281089907609</c:v>
                </c:pt>
                <c:pt idx="941">
                  <c:v>80.189861193639373</c:v>
                </c:pt>
                <c:pt idx="942">
                  <c:v>110.8030239106473</c:v>
                </c:pt>
                <c:pt idx="943">
                  <c:v>56.06130537044308</c:v>
                </c:pt>
                <c:pt idx="944">
                  <c:v>237.96978857561251</c:v>
                </c:pt>
                <c:pt idx="945">
                  <c:v>271.38812920800927</c:v>
                </c:pt>
                <c:pt idx="946">
                  <c:v>329.61593509648998</c:v>
                </c:pt>
                <c:pt idx="947">
                  <c:v>320.2988714044177</c:v>
                </c:pt>
                <c:pt idx="948">
                  <c:v>279.87568389555918</c:v>
                </c:pt>
                <c:pt idx="949">
                  <c:v>72.715146847189445</c:v>
                </c:pt>
                <c:pt idx="950">
                  <c:v>156.39689554150289</c:v>
                </c:pt>
                <c:pt idx="951">
                  <c:v>122.18785714877291</c:v>
                </c:pt>
                <c:pt idx="952">
                  <c:v>154.01911228554741</c:v>
                </c:pt>
                <c:pt idx="953">
                  <c:v>249.99540094529141</c:v>
                </c:pt>
                <c:pt idx="954">
                  <c:v>350.16541330315198</c:v>
                </c:pt>
                <c:pt idx="955">
                  <c:v>232.74847967328779</c:v>
                </c:pt>
                <c:pt idx="956">
                  <c:v>197.6013002820589</c:v>
                </c:pt>
                <c:pt idx="957">
                  <c:v>408.72403388912068</c:v>
                </c:pt>
                <c:pt idx="958">
                  <c:v>315.27514788103701</c:v>
                </c:pt>
                <c:pt idx="959">
                  <c:v>155.3996857259327</c:v>
                </c:pt>
                <c:pt idx="960">
                  <c:v>474.55611352471072</c:v>
                </c:pt>
                <c:pt idx="961">
                  <c:v>409.02154851133548</c:v>
                </c:pt>
                <c:pt idx="962">
                  <c:v>247.9956384177849</c:v>
                </c:pt>
                <c:pt idx="963">
                  <c:v>138.5303762428822</c:v>
                </c:pt>
                <c:pt idx="964">
                  <c:v>241.83518680722639</c:v>
                </c:pt>
                <c:pt idx="965">
                  <c:v>332.72449619943791</c:v>
                </c:pt>
                <c:pt idx="966">
                  <c:v>276.90731847993038</c:v>
                </c:pt>
                <c:pt idx="967">
                  <c:v>109.4225327004568</c:v>
                </c:pt>
                <c:pt idx="968">
                  <c:v>174.61885011132179</c:v>
                </c:pt>
                <c:pt idx="969">
                  <c:v>286.32237970034129</c:v>
                </c:pt>
                <c:pt idx="970">
                  <c:v>183.4859312125391</c:v>
                </c:pt>
                <c:pt idx="971">
                  <c:v>130.46298776654109</c:v>
                </c:pt>
                <c:pt idx="972">
                  <c:v>322.29409364073649</c:v>
                </c:pt>
                <c:pt idx="973">
                  <c:v>325.55905937191551</c:v>
                </c:pt>
                <c:pt idx="974">
                  <c:v>362.38819931839203</c:v>
                </c:pt>
                <c:pt idx="975">
                  <c:v>330.40607896933062</c:v>
                </c:pt>
                <c:pt idx="976">
                  <c:v>338.82407509180331</c:v>
                </c:pt>
                <c:pt idx="977">
                  <c:v>179.68877008206809</c:v>
                </c:pt>
                <c:pt idx="978">
                  <c:v>230.94375045796289</c:v>
                </c:pt>
                <c:pt idx="979">
                  <c:v>188.63615993868149</c:v>
                </c:pt>
                <c:pt idx="980">
                  <c:v>277.3526634331331</c:v>
                </c:pt>
                <c:pt idx="981">
                  <c:v>77.729350336824055</c:v>
                </c:pt>
                <c:pt idx="982">
                  <c:v>335.3096465475063</c:v>
                </c:pt>
                <c:pt idx="983">
                  <c:v>158.80021116714559</c:v>
                </c:pt>
                <c:pt idx="984">
                  <c:v>110.7024554439845</c:v>
                </c:pt>
                <c:pt idx="985">
                  <c:v>150.78559796746191</c:v>
                </c:pt>
                <c:pt idx="986">
                  <c:v>80.637808772271256</c:v>
                </c:pt>
                <c:pt idx="987">
                  <c:v>305.0842246972515</c:v>
                </c:pt>
                <c:pt idx="988">
                  <c:v>213.97524678199639</c:v>
                </c:pt>
                <c:pt idx="989">
                  <c:v>212.25703143963591</c:v>
                </c:pt>
                <c:pt idx="990">
                  <c:v>141.88980898452661</c:v>
                </c:pt>
                <c:pt idx="991">
                  <c:v>70.952485219434323</c:v>
                </c:pt>
                <c:pt idx="992">
                  <c:v>60.6137267804137</c:v>
                </c:pt>
                <c:pt idx="993">
                  <c:v>87.147440720057247</c:v>
                </c:pt>
                <c:pt idx="994">
                  <c:v>324.56830854510753</c:v>
                </c:pt>
                <c:pt idx="995">
                  <c:v>138.39085658172669</c:v>
                </c:pt>
                <c:pt idx="996">
                  <c:v>239.88742585415531</c:v>
                </c:pt>
                <c:pt idx="997">
                  <c:v>60.905982354727328</c:v>
                </c:pt>
                <c:pt idx="998">
                  <c:v>122.78811189020929</c:v>
                </c:pt>
                <c:pt idx="999">
                  <c:v>281.28646238468087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6-48CF-9140-1348FF45957E}"/>
            </c:ext>
          </c:extLst>
        </c:ser>
        <c:ser>
          <c:idx val="1"/>
          <c:order val="1"/>
          <c:tx>
            <c:strRef>
              <c:f>Sheet1!$X$2</c:f>
              <c:strCache>
                <c:ptCount val="1"/>
                <c:pt idx="0">
                  <c:v>predict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Sheet1!$X$3:$X$1002</c:f>
              <c:numCache>
                <c:formatCode>General</c:formatCode>
                <c:ptCount val="1000"/>
                <c:pt idx="0">
                  <c:v>69.932166252630864</c:v>
                </c:pt>
                <c:pt idx="1">
                  <c:v>307.85818203842604</c:v>
                </c:pt>
                <c:pt idx="2">
                  <c:v>273.96197804706708</c:v>
                </c:pt>
                <c:pt idx="3">
                  <c:v>291.21833298227261</c:v>
                </c:pt>
                <c:pt idx="4">
                  <c:v>236.65977525728113</c:v>
                </c:pt>
                <c:pt idx="5">
                  <c:v>377.33345834164663</c:v>
                </c:pt>
                <c:pt idx="6">
                  <c:v>134.92104713166617</c:v>
                </c:pt>
                <c:pt idx="7">
                  <c:v>160.17544092434599</c:v>
                </c:pt>
                <c:pt idx="8">
                  <c:v>116.21612241832406</c:v>
                </c:pt>
                <c:pt idx="9">
                  <c:v>349.07830954571375</c:v>
                </c:pt>
                <c:pt idx="10">
                  <c:v>126.15466482724642</c:v>
                </c:pt>
                <c:pt idx="11">
                  <c:v>278.17663781498163</c:v>
                </c:pt>
                <c:pt idx="12">
                  <c:v>403.01109887819177</c:v>
                </c:pt>
                <c:pt idx="13">
                  <c:v>356.10176499896801</c:v>
                </c:pt>
                <c:pt idx="14">
                  <c:v>245.38119391336895</c:v>
                </c:pt>
                <c:pt idx="15">
                  <c:v>60.831260834780451</c:v>
                </c:pt>
                <c:pt idx="16">
                  <c:v>265.67002943075443</c:v>
                </c:pt>
                <c:pt idx="17">
                  <c:v>300.91105352522186</c:v>
                </c:pt>
                <c:pt idx="18">
                  <c:v>128.12564211013159</c:v>
                </c:pt>
                <c:pt idx="19">
                  <c:v>144.08105046766732</c:v>
                </c:pt>
                <c:pt idx="20">
                  <c:v>337.38764003866879</c:v>
                </c:pt>
                <c:pt idx="21">
                  <c:v>229.13624224374723</c:v>
                </c:pt>
                <c:pt idx="22">
                  <c:v>275.9174462805496</c:v>
                </c:pt>
                <c:pt idx="23">
                  <c:v>353.32801393583179</c:v>
                </c:pt>
                <c:pt idx="24">
                  <c:v>239.14173218411824</c:v>
                </c:pt>
                <c:pt idx="25">
                  <c:v>194.24686953972105</c:v>
                </c:pt>
                <c:pt idx="26">
                  <c:v>204.90036853575279</c:v>
                </c:pt>
                <c:pt idx="27">
                  <c:v>124.07885210111448</c:v>
                </c:pt>
                <c:pt idx="28">
                  <c:v>214.25251460034659</c:v>
                </c:pt>
                <c:pt idx="29">
                  <c:v>278.33028633527243</c:v>
                </c:pt>
                <c:pt idx="30">
                  <c:v>287.65057392942759</c:v>
                </c:pt>
                <c:pt idx="31">
                  <c:v>312.88243806278751</c:v>
                </c:pt>
                <c:pt idx="32">
                  <c:v>201.83946121799391</c:v>
                </c:pt>
                <c:pt idx="33">
                  <c:v>201.43787539829566</c:v>
                </c:pt>
                <c:pt idx="34">
                  <c:v>214.59971658517995</c:v>
                </c:pt>
                <c:pt idx="35">
                  <c:v>241.42267936361156</c:v>
                </c:pt>
                <c:pt idx="36">
                  <c:v>279.47261915228376</c:v>
                </c:pt>
                <c:pt idx="37">
                  <c:v>162.84128476296257</c:v>
                </c:pt>
                <c:pt idx="38">
                  <c:v>206.01682093049089</c:v>
                </c:pt>
                <c:pt idx="39">
                  <c:v>136.88786197201222</c:v>
                </c:pt>
                <c:pt idx="40">
                  <c:v>231.21605627787164</c:v>
                </c:pt>
                <c:pt idx="41">
                  <c:v>250.88978717868147</c:v>
                </c:pt>
                <c:pt idx="42">
                  <c:v>219.40452529269402</c:v>
                </c:pt>
                <c:pt idx="43">
                  <c:v>348.54635228268017</c:v>
                </c:pt>
                <c:pt idx="44">
                  <c:v>209.26532054689901</c:v>
                </c:pt>
                <c:pt idx="45">
                  <c:v>265.80736108912606</c:v>
                </c:pt>
                <c:pt idx="46">
                  <c:v>282.45526655728827</c:v>
                </c:pt>
                <c:pt idx="47">
                  <c:v>223.99837910379148</c:v>
                </c:pt>
                <c:pt idx="48">
                  <c:v>101.51567992236056</c:v>
                </c:pt>
                <c:pt idx="49">
                  <c:v>168.79372558016078</c:v>
                </c:pt>
                <c:pt idx="50">
                  <c:v>209.61477635943407</c:v>
                </c:pt>
                <c:pt idx="51">
                  <c:v>224.17053756387003</c:v>
                </c:pt>
                <c:pt idx="52">
                  <c:v>44.129473568363018</c:v>
                </c:pt>
                <c:pt idx="53">
                  <c:v>105.86466879644034</c:v>
                </c:pt>
                <c:pt idx="54">
                  <c:v>161.87338496132605</c:v>
                </c:pt>
                <c:pt idx="55">
                  <c:v>314.2149259791334</c:v>
                </c:pt>
                <c:pt idx="56">
                  <c:v>160.44481536414099</c:v>
                </c:pt>
                <c:pt idx="57">
                  <c:v>168.8104044701355</c:v>
                </c:pt>
                <c:pt idx="58">
                  <c:v>90.553346311154414</c:v>
                </c:pt>
                <c:pt idx="59">
                  <c:v>245.61042442801633</c:v>
                </c:pt>
                <c:pt idx="60">
                  <c:v>121.28232203039829</c:v>
                </c:pt>
                <c:pt idx="61">
                  <c:v>149.09419852378988</c:v>
                </c:pt>
                <c:pt idx="62">
                  <c:v>250.01905983464428</c:v>
                </c:pt>
                <c:pt idx="63">
                  <c:v>116.20034670034485</c:v>
                </c:pt>
                <c:pt idx="64">
                  <c:v>51.677539508722163</c:v>
                </c:pt>
                <c:pt idx="65">
                  <c:v>110.42504146259962</c:v>
                </c:pt>
                <c:pt idx="66">
                  <c:v>49.567247401829974</c:v>
                </c:pt>
                <c:pt idx="67">
                  <c:v>130.19808161926167</c:v>
                </c:pt>
                <c:pt idx="68">
                  <c:v>203.41741689347879</c:v>
                </c:pt>
                <c:pt idx="69">
                  <c:v>260.41321323178522</c:v>
                </c:pt>
                <c:pt idx="70">
                  <c:v>294.44268318180991</c:v>
                </c:pt>
                <c:pt idx="71">
                  <c:v>181.0903243478563</c:v>
                </c:pt>
                <c:pt idx="72">
                  <c:v>172.16064124539349</c:v>
                </c:pt>
                <c:pt idx="73">
                  <c:v>371.40063922879227</c:v>
                </c:pt>
                <c:pt idx="74">
                  <c:v>238.92452200330996</c:v>
                </c:pt>
                <c:pt idx="75">
                  <c:v>131.76997194447711</c:v>
                </c:pt>
                <c:pt idx="76">
                  <c:v>289.71210168961528</c:v>
                </c:pt>
                <c:pt idx="77">
                  <c:v>96.377908415328889</c:v>
                </c:pt>
                <c:pt idx="78">
                  <c:v>216.66533279882958</c:v>
                </c:pt>
                <c:pt idx="79">
                  <c:v>179.48180638160699</c:v>
                </c:pt>
                <c:pt idx="80">
                  <c:v>375.45431425561947</c:v>
                </c:pt>
                <c:pt idx="81">
                  <c:v>227.65482978426809</c:v>
                </c:pt>
                <c:pt idx="82">
                  <c:v>316.18825152241033</c:v>
                </c:pt>
                <c:pt idx="83">
                  <c:v>357.08359605720136</c:v>
                </c:pt>
                <c:pt idx="84">
                  <c:v>135.63492217366866</c:v>
                </c:pt>
                <c:pt idx="85">
                  <c:v>163.80071472323573</c:v>
                </c:pt>
                <c:pt idx="86">
                  <c:v>221.79321403286343</c:v>
                </c:pt>
                <c:pt idx="87">
                  <c:v>154.77799803327883</c:v>
                </c:pt>
                <c:pt idx="88">
                  <c:v>152.75113155662132</c:v>
                </c:pt>
                <c:pt idx="89">
                  <c:v>313.95324671229639</c:v>
                </c:pt>
                <c:pt idx="90">
                  <c:v>246.90413441710248</c:v>
                </c:pt>
                <c:pt idx="91">
                  <c:v>296.2918897524799</c:v>
                </c:pt>
                <c:pt idx="92">
                  <c:v>141.08899028394131</c:v>
                </c:pt>
                <c:pt idx="93">
                  <c:v>368.08793607182292</c:v>
                </c:pt>
                <c:pt idx="94">
                  <c:v>334.89401023448636</c:v>
                </c:pt>
                <c:pt idx="95">
                  <c:v>279.23675879481851</c:v>
                </c:pt>
                <c:pt idx="96">
                  <c:v>117.12454918645574</c:v>
                </c:pt>
                <c:pt idx="97">
                  <c:v>279.59914347454088</c:v>
                </c:pt>
                <c:pt idx="98">
                  <c:v>99.94904662712068</c:v>
                </c:pt>
                <c:pt idx="99">
                  <c:v>165.14045486492651</c:v>
                </c:pt>
                <c:pt idx="100">
                  <c:v>123.55731820514042</c:v>
                </c:pt>
                <c:pt idx="101">
                  <c:v>226.38024473118099</c:v>
                </c:pt>
                <c:pt idx="102">
                  <c:v>333.02988468909564</c:v>
                </c:pt>
                <c:pt idx="103">
                  <c:v>166.97507610893842</c:v>
                </c:pt>
                <c:pt idx="104">
                  <c:v>207.07889560091076</c:v>
                </c:pt>
                <c:pt idx="105">
                  <c:v>180.52669716214206</c:v>
                </c:pt>
                <c:pt idx="106">
                  <c:v>209.46164468909635</c:v>
                </c:pt>
                <c:pt idx="107">
                  <c:v>69.922752518789025</c:v>
                </c:pt>
                <c:pt idx="108">
                  <c:v>152.12589494043061</c:v>
                </c:pt>
                <c:pt idx="109">
                  <c:v>270.24924143431917</c:v>
                </c:pt>
                <c:pt idx="110">
                  <c:v>99.069990846672141</c:v>
                </c:pt>
                <c:pt idx="111">
                  <c:v>144.92584316952104</c:v>
                </c:pt>
                <c:pt idx="112">
                  <c:v>210.20330959999237</c:v>
                </c:pt>
                <c:pt idx="113">
                  <c:v>377.5170839253658</c:v>
                </c:pt>
                <c:pt idx="114">
                  <c:v>265.09495564814341</c:v>
                </c:pt>
                <c:pt idx="115">
                  <c:v>259.69603594247781</c:v>
                </c:pt>
                <c:pt idx="116">
                  <c:v>169.92650479846247</c:v>
                </c:pt>
                <c:pt idx="117">
                  <c:v>306.67387863698383</c:v>
                </c:pt>
                <c:pt idx="118">
                  <c:v>37.463165064493921</c:v>
                </c:pt>
                <c:pt idx="119">
                  <c:v>305.84465779543996</c:v>
                </c:pt>
                <c:pt idx="120">
                  <c:v>348.34269527597388</c:v>
                </c:pt>
                <c:pt idx="121">
                  <c:v>247.63304412463418</c:v>
                </c:pt>
                <c:pt idx="122">
                  <c:v>357.78831978746285</c:v>
                </c:pt>
                <c:pt idx="123">
                  <c:v>284.9699688174602</c:v>
                </c:pt>
                <c:pt idx="124">
                  <c:v>157.17620184602603</c:v>
                </c:pt>
                <c:pt idx="125">
                  <c:v>383.66018020196151</c:v>
                </c:pt>
                <c:pt idx="126">
                  <c:v>95.656766345853185</c:v>
                </c:pt>
                <c:pt idx="127">
                  <c:v>209.6269781528548</c:v>
                </c:pt>
                <c:pt idx="128">
                  <c:v>134.51624452659007</c:v>
                </c:pt>
                <c:pt idx="129">
                  <c:v>131.03510652360393</c:v>
                </c:pt>
                <c:pt idx="130">
                  <c:v>171.10634309575613</c:v>
                </c:pt>
                <c:pt idx="131">
                  <c:v>180.94367233201314</c:v>
                </c:pt>
                <c:pt idx="132">
                  <c:v>233.41710599699184</c:v>
                </c:pt>
                <c:pt idx="133">
                  <c:v>272.2640100119944</c:v>
                </c:pt>
                <c:pt idx="134">
                  <c:v>56.660630027795719</c:v>
                </c:pt>
                <c:pt idx="135">
                  <c:v>141.81324147536284</c:v>
                </c:pt>
                <c:pt idx="136">
                  <c:v>289.05807759444787</c:v>
                </c:pt>
                <c:pt idx="137">
                  <c:v>144.41944784746059</c:v>
                </c:pt>
                <c:pt idx="138">
                  <c:v>258.13231127283279</c:v>
                </c:pt>
                <c:pt idx="139">
                  <c:v>320.85995965480333</c:v>
                </c:pt>
                <c:pt idx="140">
                  <c:v>288.97737411519591</c:v>
                </c:pt>
                <c:pt idx="141">
                  <c:v>316.13864800597219</c:v>
                </c:pt>
                <c:pt idx="142">
                  <c:v>204.83595512919047</c:v>
                </c:pt>
                <c:pt idx="143">
                  <c:v>244.74858273922439</c:v>
                </c:pt>
                <c:pt idx="144">
                  <c:v>200.73446963048804</c:v>
                </c:pt>
                <c:pt idx="145">
                  <c:v>165.99956429246197</c:v>
                </c:pt>
                <c:pt idx="146">
                  <c:v>309.98941290324268</c:v>
                </c:pt>
                <c:pt idx="147">
                  <c:v>192.48779984964651</c:v>
                </c:pt>
                <c:pt idx="148">
                  <c:v>321.01263915052573</c:v>
                </c:pt>
                <c:pt idx="149">
                  <c:v>278.93467343224268</c:v>
                </c:pt>
                <c:pt idx="150">
                  <c:v>314.7829996103506</c:v>
                </c:pt>
                <c:pt idx="151">
                  <c:v>393.16006431497982</c:v>
                </c:pt>
                <c:pt idx="152">
                  <c:v>178.47730793359432</c:v>
                </c:pt>
                <c:pt idx="153">
                  <c:v>190.85708907181194</c:v>
                </c:pt>
                <c:pt idx="154">
                  <c:v>227.04253606605633</c:v>
                </c:pt>
                <c:pt idx="155">
                  <c:v>218.70283163006826</c:v>
                </c:pt>
                <c:pt idx="156">
                  <c:v>213.81226272881605</c:v>
                </c:pt>
                <c:pt idx="157">
                  <c:v>337.42492536619812</c:v>
                </c:pt>
                <c:pt idx="158">
                  <c:v>271.43288158570249</c:v>
                </c:pt>
                <c:pt idx="159">
                  <c:v>159.95661856534963</c:v>
                </c:pt>
                <c:pt idx="160">
                  <c:v>81.177978135467697</c:v>
                </c:pt>
                <c:pt idx="161">
                  <c:v>170.24548959857674</c:v>
                </c:pt>
                <c:pt idx="162">
                  <c:v>125.1993512314379</c:v>
                </c:pt>
                <c:pt idx="163">
                  <c:v>318.83230161255096</c:v>
                </c:pt>
                <c:pt idx="164">
                  <c:v>220.23871240831124</c:v>
                </c:pt>
                <c:pt idx="165">
                  <c:v>117.9920674295047</c:v>
                </c:pt>
                <c:pt idx="166">
                  <c:v>65.324770991056496</c:v>
                </c:pt>
                <c:pt idx="167">
                  <c:v>279.48349210049616</c:v>
                </c:pt>
                <c:pt idx="168">
                  <c:v>284.63989005179866</c:v>
                </c:pt>
                <c:pt idx="169">
                  <c:v>145.53831720779564</c:v>
                </c:pt>
                <c:pt idx="170">
                  <c:v>69.539368070709713</c:v>
                </c:pt>
                <c:pt idx="171">
                  <c:v>147.33564974709037</c:v>
                </c:pt>
                <c:pt idx="172">
                  <c:v>196.95907569973826</c:v>
                </c:pt>
                <c:pt idx="173">
                  <c:v>293.78093572976377</c:v>
                </c:pt>
                <c:pt idx="174">
                  <c:v>253.09954964872995</c:v>
                </c:pt>
                <c:pt idx="175">
                  <c:v>225.23727471336286</c:v>
                </c:pt>
                <c:pt idx="176">
                  <c:v>180.97180275208623</c:v>
                </c:pt>
                <c:pt idx="177">
                  <c:v>374.14956415824525</c:v>
                </c:pt>
                <c:pt idx="178">
                  <c:v>250.89458863718363</c:v>
                </c:pt>
                <c:pt idx="179">
                  <c:v>246.03585229550245</c:v>
                </c:pt>
                <c:pt idx="180">
                  <c:v>81.958384574409479</c:v>
                </c:pt>
                <c:pt idx="181">
                  <c:v>195.88920298136537</c:v>
                </c:pt>
                <c:pt idx="182">
                  <c:v>41.144339520818548</c:v>
                </c:pt>
                <c:pt idx="183">
                  <c:v>231.1775356711166</c:v>
                </c:pt>
                <c:pt idx="184">
                  <c:v>406.57462726851247</c:v>
                </c:pt>
                <c:pt idx="185">
                  <c:v>143.69725616475512</c:v>
                </c:pt>
                <c:pt idx="186">
                  <c:v>53.994836141207273</c:v>
                </c:pt>
                <c:pt idx="187">
                  <c:v>89.014278705113838</c:v>
                </c:pt>
                <c:pt idx="188">
                  <c:v>241.36670525381601</c:v>
                </c:pt>
                <c:pt idx="189">
                  <c:v>109.6740274269761</c:v>
                </c:pt>
                <c:pt idx="190">
                  <c:v>92.110540991421132</c:v>
                </c:pt>
                <c:pt idx="191">
                  <c:v>247.72000914540513</c:v>
                </c:pt>
                <c:pt idx="192">
                  <c:v>176.34368958488176</c:v>
                </c:pt>
                <c:pt idx="193">
                  <c:v>219.61128245833049</c:v>
                </c:pt>
                <c:pt idx="194">
                  <c:v>389.70200839170735</c:v>
                </c:pt>
                <c:pt idx="195">
                  <c:v>60.38250645148775</c:v>
                </c:pt>
                <c:pt idx="196">
                  <c:v>404.14261660662686</c:v>
                </c:pt>
                <c:pt idx="197">
                  <c:v>187.5104897710508</c:v>
                </c:pt>
                <c:pt idx="198">
                  <c:v>375.06434768043897</c:v>
                </c:pt>
                <c:pt idx="199">
                  <c:v>250.3725634797899</c:v>
                </c:pt>
                <c:pt idx="200">
                  <c:v>317.89021507642013</c:v>
                </c:pt>
                <c:pt idx="201">
                  <c:v>358.07884516491322</c:v>
                </c:pt>
                <c:pt idx="202">
                  <c:v>185.48745969637747</c:v>
                </c:pt>
                <c:pt idx="203">
                  <c:v>313.76420744321268</c:v>
                </c:pt>
                <c:pt idx="204">
                  <c:v>142.73526383459583</c:v>
                </c:pt>
                <c:pt idx="205">
                  <c:v>171.86294180699733</c:v>
                </c:pt>
                <c:pt idx="206">
                  <c:v>203.37112169745632</c:v>
                </c:pt>
                <c:pt idx="207">
                  <c:v>204.26418953210145</c:v>
                </c:pt>
                <c:pt idx="208">
                  <c:v>147.32108939500611</c:v>
                </c:pt>
                <c:pt idx="209">
                  <c:v>290.88039541027922</c:v>
                </c:pt>
                <c:pt idx="210">
                  <c:v>190.40355778376369</c:v>
                </c:pt>
                <c:pt idx="211">
                  <c:v>318.26641041266538</c:v>
                </c:pt>
                <c:pt idx="212">
                  <c:v>311.89856778439741</c:v>
                </c:pt>
                <c:pt idx="213">
                  <c:v>251.29052193077865</c:v>
                </c:pt>
                <c:pt idx="214">
                  <c:v>133.74352701378822</c:v>
                </c:pt>
                <c:pt idx="215">
                  <c:v>176.32336160051364</c:v>
                </c:pt>
                <c:pt idx="216">
                  <c:v>178.27590756048718</c:v>
                </c:pt>
                <c:pt idx="217">
                  <c:v>147.59177732065729</c:v>
                </c:pt>
                <c:pt idx="218">
                  <c:v>198.47325593639778</c:v>
                </c:pt>
                <c:pt idx="219">
                  <c:v>157.46481999181731</c:v>
                </c:pt>
                <c:pt idx="220">
                  <c:v>367.96418019220084</c:v>
                </c:pt>
                <c:pt idx="221">
                  <c:v>281.81012719799008</c:v>
                </c:pt>
                <c:pt idx="222">
                  <c:v>188.19898866602128</c:v>
                </c:pt>
                <c:pt idx="223">
                  <c:v>193.74209547912332</c:v>
                </c:pt>
                <c:pt idx="224">
                  <c:v>171.64034902937709</c:v>
                </c:pt>
                <c:pt idx="225">
                  <c:v>231.94474245690171</c:v>
                </c:pt>
                <c:pt idx="226">
                  <c:v>277.85606577003057</c:v>
                </c:pt>
                <c:pt idx="227">
                  <c:v>190.54135006125912</c:v>
                </c:pt>
                <c:pt idx="228">
                  <c:v>217.18233174921482</c:v>
                </c:pt>
                <c:pt idx="229">
                  <c:v>351.31408320513691</c:v>
                </c:pt>
                <c:pt idx="230">
                  <c:v>348.77615415831917</c:v>
                </c:pt>
                <c:pt idx="231">
                  <c:v>213.8942710635994</c:v>
                </c:pt>
                <c:pt idx="232">
                  <c:v>260.57882698755429</c:v>
                </c:pt>
                <c:pt idx="233">
                  <c:v>316.01879551717241</c:v>
                </c:pt>
                <c:pt idx="234">
                  <c:v>88.521028792224442</c:v>
                </c:pt>
                <c:pt idx="235">
                  <c:v>248.18460290284492</c:v>
                </c:pt>
                <c:pt idx="236">
                  <c:v>83.569800001802037</c:v>
                </c:pt>
                <c:pt idx="237">
                  <c:v>259.66140811473974</c:v>
                </c:pt>
                <c:pt idx="238">
                  <c:v>270.19466889953844</c:v>
                </c:pt>
                <c:pt idx="239">
                  <c:v>155.74269551743632</c:v>
                </c:pt>
                <c:pt idx="240">
                  <c:v>380.94480414205657</c:v>
                </c:pt>
                <c:pt idx="241">
                  <c:v>380.35213378390546</c:v>
                </c:pt>
                <c:pt idx="242">
                  <c:v>277.71531421673529</c:v>
                </c:pt>
                <c:pt idx="243">
                  <c:v>213.32515191620351</c:v>
                </c:pt>
                <c:pt idx="244">
                  <c:v>346.81190058337029</c:v>
                </c:pt>
                <c:pt idx="245">
                  <c:v>152.34093808748258</c:v>
                </c:pt>
                <c:pt idx="246">
                  <c:v>335.71615720596185</c:v>
                </c:pt>
                <c:pt idx="247">
                  <c:v>152.40855341472709</c:v>
                </c:pt>
                <c:pt idx="248">
                  <c:v>301.40967407598026</c:v>
                </c:pt>
                <c:pt idx="249">
                  <c:v>195.5463549383058</c:v>
                </c:pt>
                <c:pt idx="250">
                  <c:v>291.4113220723803</c:v>
                </c:pt>
                <c:pt idx="251">
                  <c:v>354.92923182230675</c:v>
                </c:pt>
                <c:pt idx="252">
                  <c:v>71.107215723519175</c:v>
                </c:pt>
                <c:pt idx="253">
                  <c:v>193.2273165242693</c:v>
                </c:pt>
                <c:pt idx="254">
                  <c:v>347.05417089675768</c:v>
                </c:pt>
                <c:pt idx="255">
                  <c:v>206.87575498249868</c:v>
                </c:pt>
                <c:pt idx="256">
                  <c:v>347.10302409158425</c:v>
                </c:pt>
                <c:pt idx="257">
                  <c:v>237.3336893082267</c:v>
                </c:pt>
                <c:pt idx="258">
                  <c:v>182.04086634737547</c:v>
                </c:pt>
                <c:pt idx="259">
                  <c:v>134.76851418435913</c:v>
                </c:pt>
                <c:pt idx="260">
                  <c:v>126.49717026074234</c:v>
                </c:pt>
                <c:pt idx="261">
                  <c:v>269.44913067767675</c:v>
                </c:pt>
                <c:pt idx="262">
                  <c:v>144.29708242346433</c:v>
                </c:pt>
                <c:pt idx="263">
                  <c:v>242.09475463397627</c:v>
                </c:pt>
                <c:pt idx="264">
                  <c:v>242.51934387668086</c:v>
                </c:pt>
                <c:pt idx="265">
                  <c:v>257.85260240997479</c:v>
                </c:pt>
                <c:pt idx="266">
                  <c:v>322.24532925225139</c:v>
                </c:pt>
                <c:pt idx="267">
                  <c:v>347.60454901107181</c:v>
                </c:pt>
                <c:pt idx="268">
                  <c:v>237.39083194112885</c:v>
                </c:pt>
                <c:pt idx="269">
                  <c:v>318.51627646312562</c:v>
                </c:pt>
                <c:pt idx="270">
                  <c:v>298.9845056723795</c:v>
                </c:pt>
                <c:pt idx="271">
                  <c:v>194.08308855716132</c:v>
                </c:pt>
                <c:pt idx="272">
                  <c:v>335.79410540430706</c:v>
                </c:pt>
                <c:pt idx="273">
                  <c:v>125.50577890834344</c:v>
                </c:pt>
                <c:pt idx="274">
                  <c:v>105.48802804400297</c:v>
                </c:pt>
                <c:pt idx="275">
                  <c:v>334.58379967282553</c:v>
                </c:pt>
                <c:pt idx="276">
                  <c:v>213.43189734132591</c:v>
                </c:pt>
                <c:pt idx="277">
                  <c:v>334.55874081262311</c:v>
                </c:pt>
                <c:pt idx="278">
                  <c:v>365.53577772062818</c:v>
                </c:pt>
                <c:pt idx="279">
                  <c:v>133.79445830936635</c:v>
                </c:pt>
                <c:pt idx="280">
                  <c:v>359.47678972652056</c:v>
                </c:pt>
                <c:pt idx="281">
                  <c:v>259.10986762871522</c:v>
                </c:pt>
                <c:pt idx="282">
                  <c:v>176.01347980865364</c:v>
                </c:pt>
                <c:pt idx="283">
                  <c:v>227.78263657492522</c:v>
                </c:pt>
                <c:pt idx="284">
                  <c:v>290.01888191007896</c:v>
                </c:pt>
                <c:pt idx="285">
                  <c:v>104.05908795804564</c:v>
                </c:pt>
                <c:pt idx="286">
                  <c:v>261.34883084488411</c:v>
                </c:pt>
                <c:pt idx="287">
                  <c:v>249.62348207514015</c:v>
                </c:pt>
                <c:pt idx="288">
                  <c:v>336.96051099849888</c:v>
                </c:pt>
                <c:pt idx="289">
                  <c:v>228.27846583641843</c:v>
                </c:pt>
                <c:pt idx="290">
                  <c:v>167.43877338368674</c:v>
                </c:pt>
                <c:pt idx="291">
                  <c:v>152.94647658898668</c:v>
                </c:pt>
                <c:pt idx="292">
                  <c:v>141.25999743490843</c:v>
                </c:pt>
                <c:pt idx="293">
                  <c:v>307.8902338159005</c:v>
                </c:pt>
                <c:pt idx="294">
                  <c:v>137.17554182940935</c:v>
                </c:pt>
                <c:pt idx="295">
                  <c:v>119.79975096268942</c:v>
                </c:pt>
                <c:pt idx="296">
                  <c:v>333.56082485584966</c:v>
                </c:pt>
                <c:pt idx="297">
                  <c:v>120.24474103527477</c:v>
                </c:pt>
                <c:pt idx="298">
                  <c:v>369.53418633064456</c:v>
                </c:pt>
                <c:pt idx="299">
                  <c:v>254.62986391402268</c:v>
                </c:pt>
                <c:pt idx="300">
                  <c:v>329.74360460730691</c:v>
                </c:pt>
                <c:pt idx="301">
                  <c:v>190.1672452505108</c:v>
                </c:pt>
                <c:pt idx="302">
                  <c:v>62.433393617126718</c:v>
                </c:pt>
                <c:pt idx="303">
                  <c:v>284.61153070300423</c:v>
                </c:pt>
                <c:pt idx="304">
                  <c:v>277.35152655121641</c:v>
                </c:pt>
                <c:pt idx="305">
                  <c:v>258.17808091733417</c:v>
                </c:pt>
                <c:pt idx="306">
                  <c:v>146.11834795317316</c:v>
                </c:pt>
                <c:pt idx="307">
                  <c:v>261.72796056378678</c:v>
                </c:pt>
                <c:pt idx="308">
                  <c:v>301.51057291641558</c:v>
                </c:pt>
                <c:pt idx="309">
                  <c:v>291.14025552412016</c:v>
                </c:pt>
                <c:pt idx="310">
                  <c:v>258.87759370588634</c:v>
                </c:pt>
                <c:pt idx="311">
                  <c:v>329.61438951726734</c:v>
                </c:pt>
                <c:pt idx="312">
                  <c:v>228.16506173867344</c:v>
                </c:pt>
                <c:pt idx="313">
                  <c:v>159.91452184883414</c:v>
                </c:pt>
                <c:pt idx="314">
                  <c:v>220.15928509676485</c:v>
                </c:pt>
                <c:pt idx="315">
                  <c:v>137.86565580870916</c:v>
                </c:pt>
                <c:pt idx="316">
                  <c:v>202.52836676199939</c:v>
                </c:pt>
                <c:pt idx="317">
                  <c:v>147.64890226278985</c:v>
                </c:pt>
                <c:pt idx="318">
                  <c:v>119.24502496388619</c:v>
                </c:pt>
                <c:pt idx="319">
                  <c:v>234.23081314080838</c:v>
                </c:pt>
                <c:pt idx="320">
                  <c:v>125.19813119898757</c:v>
                </c:pt>
                <c:pt idx="321">
                  <c:v>346.33167027349572</c:v>
                </c:pt>
                <c:pt idx="322">
                  <c:v>394.31542805116294</c:v>
                </c:pt>
                <c:pt idx="323">
                  <c:v>75.854068033744397</c:v>
                </c:pt>
                <c:pt idx="324">
                  <c:v>321.92874945742471</c:v>
                </c:pt>
                <c:pt idx="325">
                  <c:v>243.29446497042591</c:v>
                </c:pt>
                <c:pt idx="326">
                  <c:v>156.056358940584</c:v>
                </c:pt>
                <c:pt idx="327">
                  <c:v>144.08384342064824</c:v>
                </c:pt>
                <c:pt idx="328">
                  <c:v>269.9863361785018</c:v>
                </c:pt>
                <c:pt idx="329">
                  <c:v>290.12059548768559</c:v>
                </c:pt>
                <c:pt idx="330">
                  <c:v>253.51271169009101</c:v>
                </c:pt>
                <c:pt idx="331">
                  <c:v>126.60409057010702</c:v>
                </c:pt>
                <c:pt idx="332">
                  <c:v>78.361289200737048</c:v>
                </c:pt>
                <c:pt idx="333">
                  <c:v>234.08491263188159</c:v>
                </c:pt>
                <c:pt idx="334">
                  <c:v>160.20794713508761</c:v>
                </c:pt>
                <c:pt idx="335">
                  <c:v>169.18872958656397</c:v>
                </c:pt>
                <c:pt idx="336">
                  <c:v>118.52624285725835</c:v>
                </c:pt>
                <c:pt idx="337">
                  <c:v>326.30701192065732</c:v>
                </c:pt>
                <c:pt idx="338">
                  <c:v>338.50047563525294</c:v>
                </c:pt>
                <c:pt idx="339">
                  <c:v>205.45390521574467</c:v>
                </c:pt>
                <c:pt idx="340">
                  <c:v>302.6448860614538</c:v>
                </c:pt>
                <c:pt idx="341">
                  <c:v>200.75918225711766</c:v>
                </c:pt>
                <c:pt idx="342">
                  <c:v>258.46385613179149</c:v>
                </c:pt>
                <c:pt idx="343">
                  <c:v>117.28205781355801</c:v>
                </c:pt>
                <c:pt idx="344">
                  <c:v>218.49337801066662</c:v>
                </c:pt>
                <c:pt idx="345">
                  <c:v>305.09989470339571</c:v>
                </c:pt>
                <c:pt idx="346">
                  <c:v>270.98948821942741</c:v>
                </c:pt>
                <c:pt idx="347">
                  <c:v>196.76989639078505</c:v>
                </c:pt>
                <c:pt idx="348">
                  <c:v>269.42378160893958</c:v>
                </c:pt>
                <c:pt idx="349">
                  <c:v>89.714863496185913</c:v>
                </c:pt>
                <c:pt idx="350">
                  <c:v>321.14603549386857</c:v>
                </c:pt>
                <c:pt idx="351">
                  <c:v>236.67849428615614</c:v>
                </c:pt>
                <c:pt idx="352">
                  <c:v>208.97529824497411</c:v>
                </c:pt>
                <c:pt idx="353">
                  <c:v>302.93547668308514</c:v>
                </c:pt>
                <c:pt idx="354">
                  <c:v>218.71525396911622</c:v>
                </c:pt>
                <c:pt idx="355">
                  <c:v>123.64378055483552</c:v>
                </c:pt>
                <c:pt idx="356">
                  <c:v>265.58974361803593</c:v>
                </c:pt>
                <c:pt idx="357">
                  <c:v>141.96438242707748</c:v>
                </c:pt>
                <c:pt idx="358">
                  <c:v>310.84903922673845</c:v>
                </c:pt>
                <c:pt idx="359">
                  <c:v>337.0174261171702</c:v>
                </c:pt>
                <c:pt idx="360">
                  <c:v>363.48747056660852</c:v>
                </c:pt>
                <c:pt idx="361">
                  <c:v>197.70293393641569</c:v>
                </c:pt>
                <c:pt idx="362">
                  <c:v>185.74340826354847</c:v>
                </c:pt>
                <c:pt idx="363">
                  <c:v>147.66149867671106</c:v>
                </c:pt>
                <c:pt idx="364">
                  <c:v>311.48164449540553</c:v>
                </c:pt>
                <c:pt idx="365">
                  <c:v>136.46998439600412</c:v>
                </c:pt>
                <c:pt idx="366">
                  <c:v>175.52255135175128</c:v>
                </c:pt>
                <c:pt idx="367">
                  <c:v>118.7829250886562</c:v>
                </c:pt>
                <c:pt idx="368">
                  <c:v>163.22470808941355</c:v>
                </c:pt>
                <c:pt idx="369">
                  <c:v>228.0472835045237</c:v>
                </c:pt>
                <c:pt idx="370">
                  <c:v>77.515510083878439</c:v>
                </c:pt>
                <c:pt idx="371">
                  <c:v>263.8261624863236</c:v>
                </c:pt>
                <c:pt idx="372">
                  <c:v>158.60656700171467</c:v>
                </c:pt>
                <c:pt idx="373">
                  <c:v>36.89399535364474</c:v>
                </c:pt>
                <c:pt idx="374">
                  <c:v>232.2832362108503</c:v>
                </c:pt>
                <c:pt idx="375">
                  <c:v>49.456066060500291</c:v>
                </c:pt>
                <c:pt idx="376">
                  <c:v>193.0163258165021</c:v>
                </c:pt>
                <c:pt idx="377">
                  <c:v>251.99695036061107</c:v>
                </c:pt>
                <c:pt idx="378">
                  <c:v>106.43285657137206</c:v>
                </c:pt>
                <c:pt idx="379">
                  <c:v>362.98632851679827</c:v>
                </c:pt>
                <c:pt idx="380">
                  <c:v>101.94778793691171</c:v>
                </c:pt>
                <c:pt idx="381">
                  <c:v>155.94075836005339</c:v>
                </c:pt>
                <c:pt idx="382">
                  <c:v>275.30241956495564</c:v>
                </c:pt>
                <c:pt idx="383">
                  <c:v>153.52789191557451</c:v>
                </c:pt>
                <c:pt idx="384">
                  <c:v>130.28872167903918</c:v>
                </c:pt>
                <c:pt idx="385">
                  <c:v>239.07480816544535</c:v>
                </c:pt>
                <c:pt idx="386">
                  <c:v>177.01862397907664</c:v>
                </c:pt>
                <c:pt idx="387">
                  <c:v>326.94558078748111</c:v>
                </c:pt>
                <c:pt idx="388">
                  <c:v>199.32109538140566</c:v>
                </c:pt>
                <c:pt idx="389">
                  <c:v>302.91336041028774</c:v>
                </c:pt>
                <c:pt idx="390">
                  <c:v>285.67373271076235</c:v>
                </c:pt>
                <c:pt idx="391">
                  <c:v>212.98684772540443</c:v>
                </c:pt>
                <c:pt idx="392">
                  <c:v>391.65556157519052</c:v>
                </c:pt>
                <c:pt idx="393">
                  <c:v>153.85507702969591</c:v>
                </c:pt>
                <c:pt idx="394">
                  <c:v>378.13749162258716</c:v>
                </c:pt>
                <c:pt idx="395">
                  <c:v>74.522975902567339</c:v>
                </c:pt>
                <c:pt idx="396">
                  <c:v>279.42722212399121</c:v>
                </c:pt>
                <c:pt idx="397">
                  <c:v>178.89085458883093</c:v>
                </c:pt>
                <c:pt idx="398">
                  <c:v>189.8049853089089</c:v>
                </c:pt>
                <c:pt idx="399">
                  <c:v>288.7908724766429</c:v>
                </c:pt>
                <c:pt idx="400">
                  <c:v>267.12837003737013</c:v>
                </c:pt>
                <c:pt idx="401">
                  <c:v>103.94556654342178</c:v>
                </c:pt>
                <c:pt idx="402">
                  <c:v>165.3062037822163</c:v>
                </c:pt>
                <c:pt idx="403">
                  <c:v>332.12902197100487</c:v>
                </c:pt>
                <c:pt idx="404">
                  <c:v>243.60406271818056</c:v>
                </c:pt>
                <c:pt idx="405">
                  <c:v>345.20313300177264</c:v>
                </c:pt>
                <c:pt idx="406">
                  <c:v>258.39086001673627</c:v>
                </c:pt>
                <c:pt idx="407">
                  <c:v>404.64945694954713</c:v>
                </c:pt>
                <c:pt idx="408">
                  <c:v>330.2671674139516</c:v>
                </c:pt>
                <c:pt idx="409">
                  <c:v>173.16154135477552</c:v>
                </c:pt>
                <c:pt idx="410">
                  <c:v>149.83546160333415</c:v>
                </c:pt>
                <c:pt idx="411">
                  <c:v>308.35896109933338</c:v>
                </c:pt>
                <c:pt idx="412">
                  <c:v>278.03347772416805</c:v>
                </c:pt>
                <c:pt idx="413">
                  <c:v>53.073167739652817</c:v>
                </c:pt>
                <c:pt idx="414">
                  <c:v>211.99288258613211</c:v>
                </c:pt>
                <c:pt idx="415">
                  <c:v>312.35161510799179</c:v>
                </c:pt>
                <c:pt idx="416">
                  <c:v>261.72698976593028</c:v>
                </c:pt>
                <c:pt idx="417">
                  <c:v>235.05160605937184</c:v>
                </c:pt>
                <c:pt idx="418">
                  <c:v>237.65209516805174</c:v>
                </c:pt>
                <c:pt idx="419">
                  <c:v>92.8555507739311</c:v>
                </c:pt>
                <c:pt idx="420">
                  <c:v>163.89898194143416</c:v>
                </c:pt>
                <c:pt idx="421">
                  <c:v>160.20456423622912</c:v>
                </c:pt>
                <c:pt idx="422">
                  <c:v>84.703611364590429</c:v>
                </c:pt>
                <c:pt idx="423">
                  <c:v>257.15580380617769</c:v>
                </c:pt>
                <c:pt idx="424">
                  <c:v>250.03891353656206</c:v>
                </c:pt>
                <c:pt idx="425">
                  <c:v>322.26978737316261</c:v>
                </c:pt>
                <c:pt idx="426">
                  <c:v>299.88104482283109</c:v>
                </c:pt>
                <c:pt idx="427">
                  <c:v>132.87747892535157</c:v>
                </c:pt>
                <c:pt idx="428">
                  <c:v>265.74615611033892</c:v>
                </c:pt>
                <c:pt idx="429">
                  <c:v>229.64420534176625</c:v>
                </c:pt>
                <c:pt idx="430">
                  <c:v>335.39978811011389</c:v>
                </c:pt>
                <c:pt idx="431">
                  <c:v>192.96777699722747</c:v>
                </c:pt>
                <c:pt idx="432">
                  <c:v>272.93812830301516</c:v>
                </c:pt>
                <c:pt idx="433">
                  <c:v>310.29604629033412</c:v>
                </c:pt>
                <c:pt idx="434">
                  <c:v>205.4912110085948</c:v>
                </c:pt>
                <c:pt idx="435">
                  <c:v>87.597356996080066</c:v>
                </c:pt>
                <c:pt idx="436">
                  <c:v>315.0194645107278</c:v>
                </c:pt>
                <c:pt idx="437">
                  <c:v>252.29843122043152</c:v>
                </c:pt>
                <c:pt idx="438">
                  <c:v>207.03681533064884</c:v>
                </c:pt>
                <c:pt idx="439">
                  <c:v>251.58833715507569</c:v>
                </c:pt>
                <c:pt idx="440">
                  <c:v>237.04935686935013</c:v>
                </c:pt>
                <c:pt idx="441">
                  <c:v>324.62667983037488</c:v>
                </c:pt>
                <c:pt idx="442">
                  <c:v>173.59629229933182</c:v>
                </c:pt>
                <c:pt idx="443">
                  <c:v>369.0737571125623</c:v>
                </c:pt>
                <c:pt idx="444">
                  <c:v>141.54401786573328</c:v>
                </c:pt>
                <c:pt idx="445">
                  <c:v>143.52931731227434</c:v>
                </c:pt>
                <c:pt idx="446">
                  <c:v>88.534678788250005</c:v>
                </c:pt>
                <c:pt idx="447">
                  <c:v>81.292575834488503</c:v>
                </c:pt>
                <c:pt idx="448">
                  <c:v>250.99372573692435</c:v>
                </c:pt>
                <c:pt idx="449">
                  <c:v>141.80237727632766</c:v>
                </c:pt>
                <c:pt idx="450">
                  <c:v>372.05630494037689</c:v>
                </c:pt>
                <c:pt idx="451">
                  <c:v>103.21369502624995</c:v>
                </c:pt>
                <c:pt idx="452">
                  <c:v>224.66897725021806</c:v>
                </c:pt>
                <c:pt idx="453">
                  <c:v>135.85774336691458</c:v>
                </c:pt>
                <c:pt idx="454">
                  <c:v>127.6068901793452</c:v>
                </c:pt>
                <c:pt idx="455">
                  <c:v>165.56073645267406</c:v>
                </c:pt>
                <c:pt idx="456">
                  <c:v>197.81756066600303</c:v>
                </c:pt>
                <c:pt idx="457">
                  <c:v>236.65036814981596</c:v>
                </c:pt>
                <c:pt idx="458">
                  <c:v>229.06337924953158</c:v>
                </c:pt>
                <c:pt idx="459">
                  <c:v>196.90089961825649</c:v>
                </c:pt>
                <c:pt idx="460">
                  <c:v>254.31319823853818</c:v>
                </c:pt>
                <c:pt idx="461">
                  <c:v>74.733953723981259</c:v>
                </c:pt>
                <c:pt idx="462">
                  <c:v>175.85761461545056</c:v>
                </c:pt>
                <c:pt idx="463">
                  <c:v>340.67236956833312</c:v>
                </c:pt>
                <c:pt idx="464">
                  <c:v>180.3046712549426</c:v>
                </c:pt>
                <c:pt idx="465">
                  <c:v>223.62062514737318</c:v>
                </c:pt>
                <c:pt idx="466">
                  <c:v>132.19916759400888</c:v>
                </c:pt>
                <c:pt idx="467">
                  <c:v>352.89210867047757</c:v>
                </c:pt>
                <c:pt idx="468">
                  <c:v>309.85753558891145</c:v>
                </c:pt>
                <c:pt idx="469">
                  <c:v>280.70705141669498</c:v>
                </c:pt>
                <c:pt idx="470">
                  <c:v>352.67957266658777</c:v>
                </c:pt>
                <c:pt idx="471">
                  <c:v>99.598025357629368</c:v>
                </c:pt>
                <c:pt idx="472">
                  <c:v>90.32025712683118</c:v>
                </c:pt>
                <c:pt idx="473">
                  <c:v>292.64516060531099</c:v>
                </c:pt>
                <c:pt idx="474">
                  <c:v>266.2417813835242</c:v>
                </c:pt>
                <c:pt idx="475">
                  <c:v>131.58772812487859</c:v>
                </c:pt>
                <c:pt idx="476">
                  <c:v>128.23343583214719</c:v>
                </c:pt>
                <c:pt idx="477">
                  <c:v>101.80076176846154</c:v>
                </c:pt>
                <c:pt idx="478">
                  <c:v>185.17493579779256</c:v>
                </c:pt>
                <c:pt idx="479">
                  <c:v>265.58671091025229</c:v>
                </c:pt>
                <c:pt idx="480">
                  <c:v>181.79359164171566</c:v>
                </c:pt>
                <c:pt idx="481">
                  <c:v>212.42735362206099</c:v>
                </c:pt>
                <c:pt idx="482">
                  <c:v>183.25344798583433</c:v>
                </c:pt>
                <c:pt idx="483">
                  <c:v>37.681634996780751</c:v>
                </c:pt>
                <c:pt idx="484">
                  <c:v>225.7633035863019</c:v>
                </c:pt>
                <c:pt idx="485">
                  <c:v>215.97848576499098</c:v>
                </c:pt>
                <c:pt idx="486">
                  <c:v>380.41667350085788</c:v>
                </c:pt>
                <c:pt idx="487">
                  <c:v>374.66820564811684</c:v>
                </c:pt>
                <c:pt idx="488">
                  <c:v>60.779731010314336</c:v>
                </c:pt>
                <c:pt idx="489">
                  <c:v>300.1945985260856</c:v>
                </c:pt>
                <c:pt idx="490">
                  <c:v>261.35873838434571</c:v>
                </c:pt>
                <c:pt idx="491">
                  <c:v>283.68562404262326</c:v>
                </c:pt>
                <c:pt idx="492">
                  <c:v>167.28118866547547</c:v>
                </c:pt>
                <c:pt idx="493">
                  <c:v>217.11788799812444</c:v>
                </c:pt>
                <c:pt idx="494">
                  <c:v>120.46139874639829</c:v>
                </c:pt>
                <c:pt idx="495">
                  <c:v>102.05003044796177</c:v>
                </c:pt>
                <c:pt idx="496">
                  <c:v>201.10258876740272</c:v>
                </c:pt>
                <c:pt idx="497">
                  <c:v>188.72463603736236</c:v>
                </c:pt>
                <c:pt idx="498">
                  <c:v>232.75438956347628</c:v>
                </c:pt>
                <c:pt idx="499">
                  <c:v>272.30870765122444</c:v>
                </c:pt>
                <c:pt idx="500">
                  <c:v>233.7821814771516</c:v>
                </c:pt>
                <c:pt idx="501">
                  <c:v>101.92531030963426</c:v>
                </c:pt>
                <c:pt idx="502">
                  <c:v>345.8380958407879</c:v>
                </c:pt>
                <c:pt idx="503">
                  <c:v>309.55513052466318</c:v>
                </c:pt>
                <c:pt idx="504">
                  <c:v>349.69397623400965</c:v>
                </c:pt>
                <c:pt idx="505">
                  <c:v>355.95424135178189</c:v>
                </c:pt>
                <c:pt idx="506">
                  <c:v>204.75911403075523</c:v>
                </c:pt>
                <c:pt idx="507">
                  <c:v>341.34721367559439</c:v>
                </c:pt>
                <c:pt idx="508">
                  <c:v>96.406710780306526</c:v>
                </c:pt>
                <c:pt idx="509">
                  <c:v>224.40736164428318</c:v>
                </c:pt>
                <c:pt idx="510">
                  <c:v>174.67234932834941</c:v>
                </c:pt>
                <c:pt idx="511">
                  <c:v>170.85203839295301</c:v>
                </c:pt>
                <c:pt idx="512">
                  <c:v>70.280376406657936</c:v>
                </c:pt>
                <c:pt idx="513">
                  <c:v>248.62864707834046</c:v>
                </c:pt>
                <c:pt idx="514">
                  <c:v>304.10525957186803</c:v>
                </c:pt>
                <c:pt idx="515">
                  <c:v>194.15822256248606</c:v>
                </c:pt>
                <c:pt idx="516">
                  <c:v>97.054567343332224</c:v>
                </c:pt>
                <c:pt idx="517">
                  <c:v>343.86321346137254</c:v>
                </c:pt>
                <c:pt idx="518">
                  <c:v>223.49588513661027</c:v>
                </c:pt>
                <c:pt idx="519">
                  <c:v>199.08621620154682</c:v>
                </c:pt>
                <c:pt idx="520">
                  <c:v>243.49718236495215</c:v>
                </c:pt>
                <c:pt idx="521">
                  <c:v>104.18024956973825</c:v>
                </c:pt>
                <c:pt idx="522">
                  <c:v>151.9483264463463</c:v>
                </c:pt>
                <c:pt idx="523">
                  <c:v>396.65343950913399</c:v>
                </c:pt>
                <c:pt idx="524">
                  <c:v>198.74695974082022</c:v>
                </c:pt>
                <c:pt idx="525">
                  <c:v>266.09506567864639</c:v>
                </c:pt>
                <c:pt idx="526">
                  <c:v>333.44372942879829</c:v>
                </c:pt>
                <c:pt idx="527">
                  <c:v>238.32807306783036</c:v>
                </c:pt>
                <c:pt idx="528">
                  <c:v>109.14609684378431</c:v>
                </c:pt>
                <c:pt idx="529">
                  <c:v>120.26604411985022</c:v>
                </c:pt>
                <c:pt idx="530">
                  <c:v>124.95446746235513</c:v>
                </c:pt>
                <c:pt idx="531">
                  <c:v>216.76462002724398</c:v>
                </c:pt>
                <c:pt idx="532">
                  <c:v>210.67209922784292</c:v>
                </c:pt>
                <c:pt idx="533">
                  <c:v>81.874389042580191</c:v>
                </c:pt>
                <c:pt idx="534">
                  <c:v>336.47062958485105</c:v>
                </c:pt>
                <c:pt idx="535">
                  <c:v>258.60453698802928</c:v>
                </c:pt>
                <c:pt idx="536">
                  <c:v>150.64655824145512</c:v>
                </c:pt>
                <c:pt idx="537">
                  <c:v>210.32882758620815</c:v>
                </c:pt>
                <c:pt idx="538">
                  <c:v>266.46818577808551</c:v>
                </c:pt>
                <c:pt idx="539">
                  <c:v>102.8820151522194</c:v>
                </c:pt>
                <c:pt idx="540">
                  <c:v>190.76317906883881</c:v>
                </c:pt>
                <c:pt idx="541">
                  <c:v>356.1610087746285</c:v>
                </c:pt>
                <c:pt idx="542">
                  <c:v>265.39691591845394</c:v>
                </c:pt>
                <c:pt idx="543">
                  <c:v>268.01613127834821</c:v>
                </c:pt>
                <c:pt idx="544">
                  <c:v>184.49605422831092</c:v>
                </c:pt>
                <c:pt idx="545">
                  <c:v>116.68732822091005</c:v>
                </c:pt>
                <c:pt idx="546">
                  <c:v>121.49602571950314</c:v>
                </c:pt>
                <c:pt idx="547">
                  <c:v>184.87992085123997</c:v>
                </c:pt>
                <c:pt idx="548">
                  <c:v>179.72773103286451</c:v>
                </c:pt>
                <c:pt idx="549">
                  <c:v>45.412984956937613</c:v>
                </c:pt>
                <c:pt idx="550">
                  <c:v>364.77611623987411</c:v>
                </c:pt>
                <c:pt idx="551">
                  <c:v>354.80588870495956</c:v>
                </c:pt>
                <c:pt idx="552">
                  <c:v>324.43801363387678</c:v>
                </c:pt>
                <c:pt idx="553">
                  <c:v>343.87667845162315</c:v>
                </c:pt>
                <c:pt idx="554">
                  <c:v>193.86404461541827</c:v>
                </c:pt>
                <c:pt idx="555">
                  <c:v>371.25191206278981</c:v>
                </c:pt>
                <c:pt idx="556">
                  <c:v>154.49777982939725</c:v>
                </c:pt>
                <c:pt idx="557">
                  <c:v>306.32675365511551</c:v>
                </c:pt>
                <c:pt idx="558">
                  <c:v>368.07802372414056</c:v>
                </c:pt>
                <c:pt idx="559">
                  <c:v>244.92388583707907</c:v>
                </c:pt>
                <c:pt idx="560">
                  <c:v>388.21246310716685</c:v>
                </c:pt>
                <c:pt idx="561">
                  <c:v>248.01808950502149</c:v>
                </c:pt>
                <c:pt idx="562">
                  <c:v>177.26643438378227</c:v>
                </c:pt>
                <c:pt idx="563">
                  <c:v>157.16943819458155</c:v>
                </c:pt>
                <c:pt idx="564">
                  <c:v>204.32498202977612</c:v>
                </c:pt>
                <c:pt idx="565">
                  <c:v>128.61840308910334</c:v>
                </c:pt>
                <c:pt idx="566">
                  <c:v>213.85898052388163</c:v>
                </c:pt>
                <c:pt idx="567">
                  <c:v>311.70409606675037</c:v>
                </c:pt>
                <c:pt idx="568">
                  <c:v>81.216892798153708</c:v>
                </c:pt>
                <c:pt idx="569">
                  <c:v>359.67075098881912</c:v>
                </c:pt>
                <c:pt idx="570">
                  <c:v>364.99179095946812</c:v>
                </c:pt>
                <c:pt idx="571">
                  <c:v>335.05160636975484</c:v>
                </c:pt>
                <c:pt idx="572">
                  <c:v>333.69512533356067</c:v>
                </c:pt>
                <c:pt idx="573">
                  <c:v>216.56985000405339</c:v>
                </c:pt>
                <c:pt idx="574">
                  <c:v>388.41774253728971</c:v>
                </c:pt>
                <c:pt idx="575">
                  <c:v>314.03377533469711</c:v>
                </c:pt>
                <c:pt idx="576">
                  <c:v>92.937955664509232</c:v>
                </c:pt>
                <c:pt idx="577">
                  <c:v>180.57727919739023</c:v>
                </c:pt>
                <c:pt idx="578">
                  <c:v>243.17140525475179</c:v>
                </c:pt>
                <c:pt idx="579">
                  <c:v>172.46929059931858</c:v>
                </c:pt>
                <c:pt idx="580">
                  <c:v>295.03667454162161</c:v>
                </c:pt>
                <c:pt idx="581">
                  <c:v>245.06468057632142</c:v>
                </c:pt>
                <c:pt idx="582">
                  <c:v>75.592053205398543</c:v>
                </c:pt>
                <c:pt idx="583">
                  <c:v>198.67054458263286</c:v>
                </c:pt>
                <c:pt idx="584">
                  <c:v>355.71559015017374</c:v>
                </c:pt>
                <c:pt idx="585">
                  <c:v>202.91154106789827</c:v>
                </c:pt>
                <c:pt idx="586">
                  <c:v>114.86555493171061</c:v>
                </c:pt>
                <c:pt idx="587">
                  <c:v>98.546294957022084</c:v>
                </c:pt>
                <c:pt idx="588">
                  <c:v>170.32104586234149</c:v>
                </c:pt>
                <c:pt idx="589">
                  <c:v>314.46048600216801</c:v>
                </c:pt>
                <c:pt idx="590">
                  <c:v>108.4573180188673</c:v>
                </c:pt>
                <c:pt idx="591">
                  <c:v>274.88768962686066</c:v>
                </c:pt>
                <c:pt idx="592">
                  <c:v>176.44397775095888</c:v>
                </c:pt>
                <c:pt idx="593">
                  <c:v>189.37010571649719</c:v>
                </c:pt>
                <c:pt idx="594">
                  <c:v>327.81339900918687</c:v>
                </c:pt>
                <c:pt idx="595">
                  <c:v>239.61070812611109</c:v>
                </c:pt>
                <c:pt idx="596">
                  <c:v>162.16047298296235</c:v>
                </c:pt>
                <c:pt idx="597">
                  <c:v>238.86822912091128</c:v>
                </c:pt>
                <c:pt idx="598">
                  <c:v>70.846532769332683</c:v>
                </c:pt>
                <c:pt idx="599">
                  <c:v>272.41836740931927</c:v>
                </c:pt>
                <c:pt idx="600">
                  <c:v>281.07986096679474</c:v>
                </c:pt>
                <c:pt idx="601">
                  <c:v>126.04667988518442</c:v>
                </c:pt>
                <c:pt idx="602">
                  <c:v>192.08598860279508</c:v>
                </c:pt>
                <c:pt idx="603">
                  <c:v>228.63484488089821</c:v>
                </c:pt>
                <c:pt idx="604">
                  <c:v>362.53947007660344</c:v>
                </c:pt>
                <c:pt idx="605">
                  <c:v>324.23958908998191</c:v>
                </c:pt>
                <c:pt idx="606">
                  <c:v>79.054066410839539</c:v>
                </c:pt>
                <c:pt idx="607">
                  <c:v>348.44808206869175</c:v>
                </c:pt>
                <c:pt idx="608">
                  <c:v>157.74080181673415</c:v>
                </c:pt>
                <c:pt idx="609">
                  <c:v>178.11749826678985</c:v>
                </c:pt>
                <c:pt idx="610">
                  <c:v>290.15965180047533</c:v>
                </c:pt>
                <c:pt idx="611">
                  <c:v>336.47833099267501</c:v>
                </c:pt>
                <c:pt idx="612">
                  <c:v>365.17702713047771</c:v>
                </c:pt>
                <c:pt idx="613">
                  <c:v>296.77521198699122</c:v>
                </c:pt>
                <c:pt idx="614">
                  <c:v>155.12098726998227</c:v>
                </c:pt>
                <c:pt idx="615">
                  <c:v>264.43066660791914</c:v>
                </c:pt>
                <c:pt idx="616">
                  <c:v>122.19761684018138</c:v>
                </c:pt>
                <c:pt idx="617">
                  <c:v>283.90251729529064</c:v>
                </c:pt>
                <c:pt idx="618">
                  <c:v>199.43546079261552</c:v>
                </c:pt>
                <c:pt idx="619">
                  <c:v>247.23793436119846</c:v>
                </c:pt>
                <c:pt idx="620">
                  <c:v>186.62442838087028</c:v>
                </c:pt>
                <c:pt idx="621">
                  <c:v>178.0170334672024</c:v>
                </c:pt>
                <c:pt idx="622">
                  <c:v>382.95761034287744</c:v>
                </c:pt>
                <c:pt idx="623">
                  <c:v>159.74975721969076</c:v>
                </c:pt>
                <c:pt idx="624">
                  <c:v>199.2717311170731</c:v>
                </c:pt>
                <c:pt idx="625">
                  <c:v>172.37509219285175</c:v>
                </c:pt>
                <c:pt idx="626">
                  <c:v>88.229496001390416</c:v>
                </c:pt>
                <c:pt idx="627">
                  <c:v>131.3752858640934</c:v>
                </c:pt>
                <c:pt idx="628">
                  <c:v>158.94611752792241</c:v>
                </c:pt>
                <c:pt idx="629">
                  <c:v>359.95313592191565</c:v>
                </c:pt>
                <c:pt idx="630">
                  <c:v>182.48870019611687</c:v>
                </c:pt>
                <c:pt idx="631">
                  <c:v>318.04089997878089</c:v>
                </c:pt>
                <c:pt idx="632">
                  <c:v>254.06992038525078</c:v>
                </c:pt>
                <c:pt idx="633">
                  <c:v>262.8460445147071</c:v>
                </c:pt>
                <c:pt idx="634">
                  <c:v>294.44529803219046</c:v>
                </c:pt>
                <c:pt idx="635">
                  <c:v>178.14897564680183</c:v>
                </c:pt>
                <c:pt idx="636">
                  <c:v>262.51981363129636</c:v>
                </c:pt>
                <c:pt idx="637">
                  <c:v>122.40191251024976</c:v>
                </c:pt>
                <c:pt idx="638">
                  <c:v>207.47666068149039</c:v>
                </c:pt>
                <c:pt idx="639">
                  <c:v>371.82151175223919</c:v>
                </c:pt>
                <c:pt idx="640">
                  <c:v>321.198644730821</c:v>
                </c:pt>
                <c:pt idx="641">
                  <c:v>334.55816785036887</c:v>
                </c:pt>
                <c:pt idx="642">
                  <c:v>239.21743351514766</c:v>
                </c:pt>
                <c:pt idx="643">
                  <c:v>331.14703162134589</c:v>
                </c:pt>
                <c:pt idx="644">
                  <c:v>222.48008374838585</c:v>
                </c:pt>
                <c:pt idx="645">
                  <c:v>233.7992185943063</c:v>
                </c:pt>
                <c:pt idx="646">
                  <c:v>141.88241565065289</c:v>
                </c:pt>
                <c:pt idx="647">
                  <c:v>226.78992041903604</c:v>
                </c:pt>
                <c:pt idx="648">
                  <c:v>142.92599872489924</c:v>
                </c:pt>
                <c:pt idx="649">
                  <c:v>198.70132474522515</c:v>
                </c:pt>
                <c:pt idx="650">
                  <c:v>364.54868795009304</c:v>
                </c:pt>
                <c:pt idx="651">
                  <c:v>159.56323799118394</c:v>
                </c:pt>
                <c:pt idx="652">
                  <c:v>133.32920451352317</c:v>
                </c:pt>
                <c:pt idx="653">
                  <c:v>64.556516931099523</c:v>
                </c:pt>
                <c:pt idx="654">
                  <c:v>346.79863218102582</c:v>
                </c:pt>
                <c:pt idx="655">
                  <c:v>171.77662632929577</c:v>
                </c:pt>
                <c:pt idx="656">
                  <c:v>172.80787445337455</c:v>
                </c:pt>
                <c:pt idx="657">
                  <c:v>337.78615502773158</c:v>
                </c:pt>
                <c:pt idx="658">
                  <c:v>375.37292055115199</c:v>
                </c:pt>
                <c:pt idx="659">
                  <c:v>133.53264212543289</c:v>
                </c:pt>
                <c:pt idx="660">
                  <c:v>266.68089805341947</c:v>
                </c:pt>
                <c:pt idx="661">
                  <c:v>336.54936911075146</c:v>
                </c:pt>
                <c:pt idx="662">
                  <c:v>237.32676476362229</c:v>
                </c:pt>
                <c:pt idx="663">
                  <c:v>130.3804409097927</c:v>
                </c:pt>
                <c:pt idx="664">
                  <c:v>357.85807156435072</c:v>
                </c:pt>
                <c:pt idx="665">
                  <c:v>248.51306762275047</c:v>
                </c:pt>
                <c:pt idx="666">
                  <c:v>130.4649904064164</c:v>
                </c:pt>
                <c:pt idx="667">
                  <c:v>185.64956966930953</c:v>
                </c:pt>
                <c:pt idx="668">
                  <c:v>126.20833367492607</c:v>
                </c:pt>
                <c:pt idx="669">
                  <c:v>124.14218408980773</c:v>
                </c:pt>
                <c:pt idx="670">
                  <c:v>245.19278066554696</c:v>
                </c:pt>
                <c:pt idx="671">
                  <c:v>113.78265912434084</c:v>
                </c:pt>
                <c:pt idx="672">
                  <c:v>149.14361067161036</c:v>
                </c:pt>
                <c:pt idx="673">
                  <c:v>256.10115866910292</c:v>
                </c:pt>
                <c:pt idx="674">
                  <c:v>68.720217530715189</c:v>
                </c:pt>
                <c:pt idx="675">
                  <c:v>411.09468029790412</c:v>
                </c:pt>
                <c:pt idx="676">
                  <c:v>131.52947947963767</c:v>
                </c:pt>
                <c:pt idx="677">
                  <c:v>151.99435645461358</c:v>
                </c:pt>
                <c:pt idx="678">
                  <c:v>131.62245734982992</c:v>
                </c:pt>
                <c:pt idx="679">
                  <c:v>125.5435698897511</c:v>
                </c:pt>
                <c:pt idx="680">
                  <c:v>128.28773717282562</c:v>
                </c:pt>
                <c:pt idx="681">
                  <c:v>346.08697346869752</c:v>
                </c:pt>
                <c:pt idx="682">
                  <c:v>344.66835026820485</c:v>
                </c:pt>
                <c:pt idx="683">
                  <c:v>138.96785069831674</c:v>
                </c:pt>
                <c:pt idx="684">
                  <c:v>295.41905025731603</c:v>
                </c:pt>
                <c:pt idx="685">
                  <c:v>334.17035124836298</c:v>
                </c:pt>
                <c:pt idx="686">
                  <c:v>332.60590823891857</c:v>
                </c:pt>
                <c:pt idx="687">
                  <c:v>189.19954699520807</c:v>
                </c:pt>
                <c:pt idx="688">
                  <c:v>157.8790683253095</c:v>
                </c:pt>
                <c:pt idx="689">
                  <c:v>195.98586002436508</c:v>
                </c:pt>
                <c:pt idx="690">
                  <c:v>230.31493863295552</c:v>
                </c:pt>
                <c:pt idx="691">
                  <c:v>325.76668285201782</c:v>
                </c:pt>
                <c:pt idx="692">
                  <c:v>117.44261917877429</c:v>
                </c:pt>
                <c:pt idx="693">
                  <c:v>222.34733959946163</c:v>
                </c:pt>
                <c:pt idx="694">
                  <c:v>293.29169349673066</c:v>
                </c:pt>
                <c:pt idx="695">
                  <c:v>321.69899404483317</c:v>
                </c:pt>
                <c:pt idx="696">
                  <c:v>357.86243193874475</c:v>
                </c:pt>
                <c:pt idx="697">
                  <c:v>313.1780196067769</c:v>
                </c:pt>
                <c:pt idx="698">
                  <c:v>147.51024356164899</c:v>
                </c:pt>
                <c:pt idx="699">
                  <c:v>261.19624169614804</c:v>
                </c:pt>
                <c:pt idx="700">
                  <c:v>274.92801795885487</c:v>
                </c:pt>
                <c:pt idx="701">
                  <c:v>112.74481390850778</c:v>
                </c:pt>
                <c:pt idx="702">
                  <c:v>249.50966011975265</c:v>
                </c:pt>
                <c:pt idx="703">
                  <c:v>301.45031017686443</c:v>
                </c:pt>
                <c:pt idx="704">
                  <c:v>166.61714090041249</c:v>
                </c:pt>
                <c:pt idx="705">
                  <c:v>279.48277409283321</c:v>
                </c:pt>
                <c:pt idx="706">
                  <c:v>283.17439323139894</c:v>
                </c:pt>
                <c:pt idx="707">
                  <c:v>354.94091912959323</c:v>
                </c:pt>
                <c:pt idx="708">
                  <c:v>49.68032713448374</c:v>
                </c:pt>
                <c:pt idx="709">
                  <c:v>109.72206269888551</c:v>
                </c:pt>
                <c:pt idx="710">
                  <c:v>234.92342904940591</c:v>
                </c:pt>
                <c:pt idx="711">
                  <c:v>201.02105289003222</c:v>
                </c:pt>
                <c:pt idx="712">
                  <c:v>309.60474749281815</c:v>
                </c:pt>
                <c:pt idx="713">
                  <c:v>331.85824583935897</c:v>
                </c:pt>
                <c:pt idx="714">
                  <c:v>114.86861512985411</c:v>
                </c:pt>
                <c:pt idx="715">
                  <c:v>223.31728843022756</c:v>
                </c:pt>
                <c:pt idx="716">
                  <c:v>186.64510773864771</c:v>
                </c:pt>
                <c:pt idx="717">
                  <c:v>169.38646391794202</c:v>
                </c:pt>
                <c:pt idx="718">
                  <c:v>340.11437731875128</c:v>
                </c:pt>
                <c:pt idx="719">
                  <c:v>273.20119841656526</c:v>
                </c:pt>
                <c:pt idx="720">
                  <c:v>250.33495526315738</c:v>
                </c:pt>
                <c:pt idx="721">
                  <c:v>298.14237179594494</c:v>
                </c:pt>
                <c:pt idx="722">
                  <c:v>242.61520884030858</c:v>
                </c:pt>
                <c:pt idx="723">
                  <c:v>397.16962883071238</c:v>
                </c:pt>
                <c:pt idx="724">
                  <c:v>329.69671032846247</c:v>
                </c:pt>
                <c:pt idx="725">
                  <c:v>306.63752818947665</c:v>
                </c:pt>
                <c:pt idx="726">
                  <c:v>319.7201726807038</c:v>
                </c:pt>
                <c:pt idx="727">
                  <c:v>175.22376017920374</c:v>
                </c:pt>
                <c:pt idx="728">
                  <c:v>342.70360441304763</c:v>
                </c:pt>
                <c:pt idx="729">
                  <c:v>98.678312476389564</c:v>
                </c:pt>
                <c:pt idx="730">
                  <c:v>169.56362112078085</c:v>
                </c:pt>
                <c:pt idx="731">
                  <c:v>218.27150058119639</c:v>
                </c:pt>
                <c:pt idx="732">
                  <c:v>346.30391913927502</c:v>
                </c:pt>
                <c:pt idx="733">
                  <c:v>335.09757150844325</c:v>
                </c:pt>
                <c:pt idx="734">
                  <c:v>291.29888387267778</c:v>
                </c:pt>
                <c:pt idx="735">
                  <c:v>256.30994569604934</c:v>
                </c:pt>
                <c:pt idx="736">
                  <c:v>228.99805547412041</c:v>
                </c:pt>
                <c:pt idx="737">
                  <c:v>332.52917042993295</c:v>
                </c:pt>
                <c:pt idx="738">
                  <c:v>171.4810425629307</c:v>
                </c:pt>
                <c:pt idx="739">
                  <c:v>137.59360720202443</c:v>
                </c:pt>
                <c:pt idx="740">
                  <c:v>168.64533632162272</c:v>
                </c:pt>
                <c:pt idx="741">
                  <c:v>281.41681755745924</c:v>
                </c:pt>
                <c:pt idx="742">
                  <c:v>290.7116682192609</c:v>
                </c:pt>
                <c:pt idx="743">
                  <c:v>169.38153253891886</c:v>
                </c:pt>
                <c:pt idx="744">
                  <c:v>139.25524470907513</c:v>
                </c:pt>
                <c:pt idx="745">
                  <c:v>294.65720599187762</c:v>
                </c:pt>
                <c:pt idx="746">
                  <c:v>76.760244873810038</c:v>
                </c:pt>
                <c:pt idx="747">
                  <c:v>324.86873792469908</c:v>
                </c:pt>
                <c:pt idx="748">
                  <c:v>394.58992764162247</c:v>
                </c:pt>
                <c:pt idx="749">
                  <c:v>174.49872464967342</c:v>
                </c:pt>
                <c:pt idx="750">
                  <c:v>182.62260727841726</c:v>
                </c:pt>
                <c:pt idx="751">
                  <c:v>279.2563938422133</c:v>
                </c:pt>
                <c:pt idx="752">
                  <c:v>311.85840548394253</c:v>
                </c:pt>
                <c:pt idx="753">
                  <c:v>195.41781974309177</c:v>
                </c:pt>
                <c:pt idx="754">
                  <c:v>309.73138437716062</c:v>
                </c:pt>
                <c:pt idx="755">
                  <c:v>123.58132874181899</c:v>
                </c:pt>
                <c:pt idx="756">
                  <c:v>224.8859294874529</c:v>
                </c:pt>
                <c:pt idx="757">
                  <c:v>279.02500391458767</c:v>
                </c:pt>
                <c:pt idx="758">
                  <c:v>354.29136136049294</c:v>
                </c:pt>
                <c:pt idx="759">
                  <c:v>165.32286146035295</c:v>
                </c:pt>
                <c:pt idx="760">
                  <c:v>273.08845429636631</c:v>
                </c:pt>
                <c:pt idx="761">
                  <c:v>250.4550118652231</c:v>
                </c:pt>
                <c:pt idx="762">
                  <c:v>155.565457460743</c:v>
                </c:pt>
                <c:pt idx="763">
                  <c:v>150.61092394252728</c:v>
                </c:pt>
                <c:pt idx="764">
                  <c:v>343.3284346802302</c:v>
                </c:pt>
                <c:pt idx="765">
                  <c:v>177.33016867958264</c:v>
                </c:pt>
                <c:pt idx="766">
                  <c:v>124.13607294451542</c:v>
                </c:pt>
                <c:pt idx="767">
                  <c:v>114.69477707115442</c:v>
                </c:pt>
                <c:pt idx="768">
                  <c:v>307.621036928992</c:v>
                </c:pt>
                <c:pt idx="769">
                  <c:v>249.1043899857585</c:v>
                </c:pt>
                <c:pt idx="770">
                  <c:v>278.23939031350227</c:v>
                </c:pt>
                <c:pt idx="771">
                  <c:v>201.16749985081822</c:v>
                </c:pt>
                <c:pt idx="772">
                  <c:v>232.83890564365061</c:v>
                </c:pt>
                <c:pt idx="773">
                  <c:v>220.59909321434401</c:v>
                </c:pt>
                <c:pt idx="774">
                  <c:v>346.63923098291127</c:v>
                </c:pt>
                <c:pt idx="775">
                  <c:v>334.84612190036103</c:v>
                </c:pt>
                <c:pt idx="776">
                  <c:v>119.81041259008821</c:v>
                </c:pt>
                <c:pt idx="777">
                  <c:v>225.73594453842716</c:v>
                </c:pt>
                <c:pt idx="778">
                  <c:v>98.68035952742224</c:v>
                </c:pt>
                <c:pt idx="779">
                  <c:v>187.58316539303473</c:v>
                </c:pt>
                <c:pt idx="780">
                  <c:v>115.06211729043847</c:v>
                </c:pt>
                <c:pt idx="781">
                  <c:v>217.23672562006203</c:v>
                </c:pt>
                <c:pt idx="782">
                  <c:v>143.40892793405862</c:v>
                </c:pt>
                <c:pt idx="783">
                  <c:v>262.32175062322216</c:v>
                </c:pt>
                <c:pt idx="784">
                  <c:v>167.49209023721008</c:v>
                </c:pt>
                <c:pt idx="785">
                  <c:v>273.4162434339849</c:v>
                </c:pt>
                <c:pt idx="786">
                  <c:v>244.80139278092659</c:v>
                </c:pt>
                <c:pt idx="787">
                  <c:v>48.900180695162767</c:v>
                </c:pt>
                <c:pt idx="788">
                  <c:v>323.6007080684721</c:v>
                </c:pt>
                <c:pt idx="789">
                  <c:v>217.32553219613305</c:v>
                </c:pt>
                <c:pt idx="790">
                  <c:v>214.42407080576905</c:v>
                </c:pt>
                <c:pt idx="791">
                  <c:v>325.11528108788139</c:v>
                </c:pt>
                <c:pt idx="792">
                  <c:v>128.82497655842928</c:v>
                </c:pt>
                <c:pt idx="793">
                  <c:v>89.712129704211989</c:v>
                </c:pt>
                <c:pt idx="794">
                  <c:v>162.30020760354017</c:v>
                </c:pt>
                <c:pt idx="795">
                  <c:v>376.41191592402487</c:v>
                </c:pt>
                <c:pt idx="796">
                  <c:v>318.97646011894977</c:v>
                </c:pt>
                <c:pt idx="797">
                  <c:v>247.75707973942923</c:v>
                </c:pt>
                <c:pt idx="798">
                  <c:v>281.1878442176847</c:v>
                </c:pt>
                <c:pt idx="799">
                  <c:v>104.47750250468273</c:v>
                </c:pt>
                <c:pt idx="800">
                  <c:v>211.34904743639828</c:v>
                </c:pt>
                <c:pt idx="801">
                  <c:v>289.92520820763673</c:v>
                </c:pt>
                <c:pt idx="802">
                  <c:v>164.52586180042763</c:v>
                </c:pt>
                <c:pt idx="803">
                  <c:v>176.04246000982477</c:v>
                </c:pt>
                <c:pt idx="804">
                  <c:v>145.91774387921461</c:v>
                </c:pt>
                <c:pt idx="805">
                  <c:v>161.531924006737</c:v>
                </c:pt>
                <c:pt idx="806">
                  <c:v>320.05183232689615</c:v>
                </c:pt>
                <c:pt idx="807">
                  <c:v>74.884540667099913</c:v>
                </c:pt>
                <c:pt idx="808">
                  <c:v>203.57429943831775</c:v>
                </c:pt>
                <c:pt idx="809">
                  <c:v>171.53128349340713</c:v>
                </c:pt>
                <c:pt idx="810">
                  <c:v>362.89120583506673</c:v>
                </c:pt>
                <c:pt idx="811">
                  <c:v>115.91675545599209</c:v>
                </c:pt>
                <c:pt idx="812">
                  <c:v>153.72169148947893</c:v>
                </c:pt>
                <c:pt idx="813">
                  <c:v>333.68253652303326</c:v>
                </c:pt>
                <c:pt idx="814">
                  <c:v>306.22584220930179</c:v>
                </c:pt>
                <c:pt idx="815">
                  <c:v>154.19142230612013</c:v>
                </c:pt>
                <c:pt idx="816">
                  <c:v>205.31437204872395</c:v>
                </c:pt>
                <c:pt idx="817">
                  <c:v>202.23731383402395</c:v>
                </c:pt>
                <c:pt idx="818">
                  <c:v>113.54620918950397</c:v>
                </c:pt>
                <c:pt idx="819">
                  <c:v>138.6382417087494</c:v>
                </c:pt>
                <c:pt idx="820">
                  <c:v>220.40434624701987</c:v>
                </c:pt>
                <c:pt idx="821">
                  <c:v>123.64580282510238</c:v>
                </c:pt>
                <c:pt idx="822">
                  <c:v>212.88000165078176</c:v>
                </c:pt>
                <c:pt idx="823">
                  <c:v>309.78787047452943</c:v>
                </c:pt>
                <c:pt idx="824">
                  <c:v>376.21475520339084</c:v>
                </c:pt>
                <c:pt idx="825">
                  <c:v>250.83866703394466</c:v>
                </c:pt>
                <c:pt idx="826">
                  <c:v>97.378466593595419</c:v>
                </c:pt>
                <c:pt idx="827">
                  <c:v>122.78878197412564</c:v>
                </c:pt>
                <c:pt idx="828">
                  <c:v>357.26760914248462</c:v>
                </c:pt>
                <c:pt idx="829">
                  <c:v>119.16004332773758</c:v>
                </c:pt>
                <c:pt idx="830">
                  <c:v>111.95734459117506</c:v>
                </c:pt>
                <c:pt idx="831">
                  <c:v>284.99188040112654</c:v>
                </c:pt>
                <c:pt idx="832">
                  <c:v>254.73740453758717</c:v>
                </c:pt>
                <c:pt idx="833">
                  <c:v>219.72168326548618</c:v>
                </c:pt>
                <c:pt idx="834">
                  <c:v>188.70210731350841</c:v>
                </c:pt>
                <c:pt idx="835">
                  <c:v>53.197547627294199</c:v>
                </c:pt>
                <c:pt idx="836">
                  <c:v>328.18407760158192</c:v>
                </c:pt>
                <c:pt idx="837">
                  <c:v>119.67049711269968</c:v>
                </c:pt>
                <c:pt idx="838">
                  <c:v>257.91387957404311</c:v>
                </c:pt>
                <c:pt idx="839">
                  <c:v>309.86654129234137</c:v>
                </c:pt>
                <c:pt idx="840">
                  <c:v>259.81025135736081</c:v>
                </c:pt>
                <c:pt idx="841">
                  <c:v>138.37902686924411</c:v>
                </c:pt>
                <c:pt idx="842">
                  <c:v>200.59823244688152</c:v>
                </c:pt>
                <c:pt idx="843">
                  <c:v>294.27627592016972</c:v>
                </c:pt>
                <c:pt idx="844">
                  <c:v>371.74719014589056</c:v>
                </c:pt>
                <c:pt idx="845">
                  <c:v>319.97929720515447</c:v>
                </c:pt>
                <c:pt idx="846">
                  <c:v>108.64699931694284</c:v>
                </c:pt>
                <c:pt idx="847">
                  <c:v>182.32176142061982</c:v>
                </c:pt>
                <c:pt idx="848">
                  <c:v>379.6452943411004</c:v>
                </c:pt>
                <c:pt idx="849">
                  <c:v>237.88027560066212</c:v>
                </c:pt>
                <c:pt idx="850">
                  <c:v>285.42989733241154</c:v>
                </c:pt>
                <c:pt idx="851">
                  <c:v>137.65413694340799</c:v>
                </c:pt>
                <c:pt idx="852">
                  <c:v>296.2664034551629</c:v>
                </c:pt>
                <c:pt idx="853">
                  <c:v>285.28494491975493</c:v>
                </c:pt>
                <c:pt idx="854">
                  <c:v>276.22895764250779</c:v>
                </c:pt>
                <c:pt idx="855">
                  <c:v>156.09598476554311</c:v>
                </c:pt>
                <c:pt idx="856">
                  <c:v>105.16374315914344</c:v>
                </c:pt>
                <c:pt idx="857">
                  <c:v>283.31530006681459</c:v>
                </c:pt>
                <c:pt idx="858">
                  <c:v>142.37063552522866</c:v>
                </c:pt>
                <c:pt idx="859">
                  <c:v>240.70187842840784</c:v>
                </c:pt>
                <c:pt idx="860">
                  <c:v>406.57230801305764</c:v>
                </c:pt>
                <c:pt idx="861">
                  <c:v>164.69387621026067</c:v>
                </c:pt>
                <c:pt idx="862">
                  <c:v>325.13144103055151</c:v>
                </c:pt>
                <c:pt idx="863">
                  <c:v>111.67297195352859</c:v>
                </c:pt>
                <c:pt idx="864">
                  <c:v>307.04583174794402</c:v>
                </c:pt>
                <c:pt idx="865">
                  <c:v>368.19494941178698</c:v>
                </c:pt>
                <c:pt idx="866">
                  <c:v>126.00296652464215</c:v>
                </c:pt>
                <c:pt idx="867">
                  <c:v>121.35537870887012</c:v>
                </c:pt>
                <c:pt idx="868">
                  <c:v>192.22824504123548</c:v>
                </c:pt>
                <c:pt idx="869">
                  <c:v>154.04616874445702</c:v>
                </c:pt>
                <c:pt idx="870">
                  <c:v>296.44392498306422</c:v>
                </c:pt>
                <c:pt idx="871">
                  <c:v>305.6038549715023</c:v>
                </c:pt>
                <c:pt idx="872">
                  <c:v>228.97527659292732</c:v>
                </c:pt>
                <c:pt idx="873">
                  <c:v>190.9723584605089</c:v>
                </c:pt>
                <c:pt idx="874">
                  <c:v>186.92497162468416</c:v>
                </c:pt>
                <c:pt idx="875">
                  <c:v>328.99962612357342</c:v>
                </c:pt>
                <c:pt idx="876">
                  <c:v>132.99018662370676</c:v>
                </c:pt>
                <c:pt idx="877">
                  <c:v>224.02866956119567</c:v>
                </c:pt>
                <c:pt idx="878">
                  <c:v>310.62464301821706</c:v>
                </c:pt>
                <c:pt idx="879">
                  <c:v>225.38001866505607</c:v>
                </c:pt>
                <c:pt idx="880">
                  <c:v>118.04643834383796</c:v>
                </c:pt>
                <c:pt idx="881">
                  <c:v>249.50587439727545</c:v>
                </c:pt>
                <c:pt idx="882">
                  <c:v>153.47876657496028</c:v>
                </c:pt>
                <c:pt idx="883">
                  <c:v>158.23027684192922</c:v>
                </c:pt>
                <c:pt idx="884">
                  <c:v>294.91416987906649</c:v>
                </c:pt>
                <c:pt idx="885">
                  <c:v>283.58082959366271</c:v>
                </c:pt>
                <c:pt idx="886">
                  <c:v>99.961476234178605</c:v>
                </c:pt>
                <c:pt idx="887">
                  <c:v>106.99070270978849</c:v>
                </c:pt>
                <c:pt idx="888">
                  <c:v>185.65647876920937</c:v>
                </c:pt>
                <c:pt idx="889">
                  <c:v>193.27486528377744</c:v>
                </c:pt>
                <c:pt idx="890">
                  <c:v>154.48597939386963</c:v>
                </c:pt>
                <c:pt idx="891">
                  <c:v>154.98629765940683</c:v>
                </c:pt>
                <c:pt idx="892">
                  <c:v>206.03167444625939</c:v>
                </c:pt>
                <c:pt idx="893">
                  <c:v>346.67390975921614</c:v>
                </c:pt>
                <c:pt idx="894">
                  <c:v>271.53615735535465</c:v>
                </c:pt>
                <c:pt idx="895">
                  <c:v>286.95451671740477</c:v>
                </c:pt>
                <c:pt idx="896">
                  <c:v>67.919711323916431</c:v>
                </c:pt>
                <c:pt idx="897">
                  <c:v>393.87334951994069</c:v>
                </c:pt>
                <c:pt idx="898">
                  <c:v>314.98555609960908</c:v>
                </c:pt>
                <c:pt idx="899">
                  <c:v>271.22154198537703</c:v>
                </c:pt>
                <c:pt idx="900">
                  <c:v>262.08905772241036</c:v>
                </c:pt>
                <c:pt idx="901">
                  <c:v>355.12362570682467</c:v>
                </c:pt>
                <c:pt idx="902">
                  <c:v>239.5953308362769</c:v>
                </c:pt>
                <c:pt idx="903">
                  <c:v>167.1289615875032</c:v>
                </c:pt>
                <c:pt idx="904">
                  <c:v>299.01568394312659</c:v>
                </c:pt>
                <c:pt idx="905">
                  <c:v>245.18338912038834</c:v>
                </c:pt>
                <c:pt idx="906">
                  <c:v>318.02138100956017</c:v>
                </c:pt>
                <c:pt idx="907">
                  <c:v>196.46088100146852</c:v>
                </c:pt>
                <c:pt idx="908">
                  <c:v>140.77575694071066</c:v>
                </c:pt>
                <c:pt idx="909">
                  <c:v>225.4301257091727</c:v>
                </c:pt>
                <c:pt idx="910">
                  <c:v>346.53465089422383</c:v>
                </c:pt>
                <c:pt idx="911">
                  <c:v>271.20883420775465</c:v>
                </c:pt>
                <c:pt idx="912">
                  <c:v>213.03749166738277</c:v>
                </c:pt>
                <c:pt idx="913">
                  <c:v>156.72596387682415</c:v>
                </c:pt>
                <c:pt idx="914">
                  <c:v>225.25208305888367</c:v>
                </c:pt>
                <c:pt idx="915">
                  <c:v>330.18213821921489</c:v>
                </c:pt>
                <c:pt idx="916">
                  <c:v>257.2857389212777</c:v>
                </c:pt>
                <c:pt idx="917">
                  <c:v>307.95048746019523</c:v>
                </c:pt>
                <c:pt idx="918">
                  <c:v>247.12342713718749</c:v>
                </c:pt>
                <c:pt idx="919">
                  <c:v>244.54570719011139</c:v>
                </c:pt>
                <c:pt idx="920">
                  <c:v>115.44806801725566</c:v>
                </c:pt>
                <c:pt idx="921">
                  <c:v>307.69329510909017</c:v>
                </c:pt>
                <c:pt idx="922">
                  <c:v>242.43534938519113</c:v>
                </c:pt>
                <c:pt idx="923">
                  <c:v>165.83867758608261</c:v>
                </c:pt>
                <c:pt idx="924">
                  <c:v>236.82893623204191</c:v>
                </c:pt>
                <c:pt idx="925">
                  <c:v>308.13811015051056</c:v>
                </c:pt>
                <c:pt idx="926">
                  <c:v>86.224349312771096</c:v>
                </c:pt>
                <c:pt idx="927">
                  <c:v>313.08047272654198</c:v>
                </c:pt>
                <c:pt idx="928">
                  <c:v>195.13754862152862</c:v>
                </c:pt>
                <c:pt idx="929">
                  <c:v>227.65615719035921</c:v>
                </c:pt>
                <c:pt idx="930">
                  <c:v>104.59371617475023</c:v>
                </c:pt>
                <c:pt idx="931">
                  <c:v>151.9436660741278</c:v>
                </c:pt>
                <c:pt idx="932">
                  <c:v>262.92654491162102</c:v>
                </c:pt>
                <c:pt idx="933">
                  <c:v>96.270563220037843</c:v>
                </c:pt>
                <c:pt idx="934">
                  <c:v>273.09513285439618</c:v>
                </c:pt>
                <c:pt idx="935">
                  <c:v>361.92575105482217</c:v>
                </c:pt>
                <c:pt idx="936">
                  <c:v>71.0729261635162</c:v>
                </c:pt>
                <c:pt idx="937">
                  <c:v>316.70327581179629</c:v>
                </c:pt>
                <c:pt idx="938">
                  <c:v>178.74665830457442</c:v>
                </c:pt>
                <c:pt idx="939">
                  <c:v>286.97578151918833</c:v>
                </c:pt>
                <c:pt idx="940">
                  <c:v>109.93165404708364</c:v>
                </c:pt>
                <c:pt idx="941">
                  <c:v>94.423158696686912</c:v>
                </c:pt>
                <c:pt idx="942">
                  <c:v>170.2942803026437</c:v>
                </c:pt>
                <c:pt idx="943">
                  <c:v>74.52202557959194</c:v>
                </c:pt>
                <c:pt idx="944">
                  <c:v>171.81116672981705</c:v>
                </c:pt>
                <c:pt idx="945">
                  <c:v>244.69556564521372</c:v>
                </c:pt>
                <c:pt idx="946">
                  <c:v>346.25874869523227</c:v>
                </c:pt>
                <c:pt idx="947">
                  <c:v>334.27631994709367</c:v>
                </c:pt>
                <c:pt idx="948">
                  <c:v>279.57038321600817</c:v>
                </c:pt>
                <c:pt idx="949">
                  <c:v>95.732324372902809</c:v>
                </c:pt>
                <c:pt idx="950">
                  <c:v>135.51771850543713</c:v>
                </c:pt>
                <c:pt idx="951">
                  <c:v>118.76424411578607</c:v>
                </c:pt>
                <c:pt idx="952">
                  <c:v>131.73347112902184</c:v>
                </c:pt>
                <c:pt idx="953">
                  <c:v>245.41412894349787</c:v>
                </c:pt>
                <c:pt idx="954">
                  <c:v>282.38965694340703</c:v>
                </c:pt>
                <c:pt idx="955">
                  <c:v>224.36566886423699</c:v>
                </c:pt>
                <c:pt idx="956">
                  <c:v>212.83429918758861</c:v>
                </c:pt>
                <c:pt idx="957">
                  <c:v>349.92551063727171</c:v>
                </c:pt>
                <c:pt idx="958">
                  <c:v>324.44976011470277</c:v>
                </c:pt>
                <c:pt idx="959">
                  <c:v>145.19577247885854</c:v>
                </c:pt>
                <c:pt idx="960">
                  <c:v>385.17186793285646</c:v>
                </c:pt>
                <c:pt idx="961">
                  <c:v>370.69111393885362</c:v>
                </c:pt>
                <c:pt idx="962">
                  <c:v>183.11506582672953</c:v>
                </c:pt>
                <c:pt idx="963">
                  <c:v>142.52202086723048</c:v>
                </c:pt>
                <c:pt idx="964">
                  <c:v>219.21902843542946</c:v>
                </c:pt>
                <c:pt idx="965">
                  <c:v>343.51707689902577</c:v>
                </c:pt>
                <c:pt idx="966">
                  <c:v>371.70862306076407</c:v>
                </c:pt>
                <c:pt idx="967">
                  <c:v>116.01979545660036</c:v>
                </c:pt>
                <c:pt idx="968">
                  <c:v>179.24614704088293</c:v>
                </c:pt>
                <c:pt idx="969">
                  <c:v>295.08028973124351</c:v>
                </c:pt>
                <c:pt idx="970">
                  <c:v>184.76986367258419</c:v>
                </c:pt>
                <c:pt idx="971">
                  <c:v>132.00461676742097</c:v>
                </c:pt>
                <c:pt idx="972">
                  <c:v>277.86491825062564</c:v>
                </c:pt>
                <c:pt idx="973">
                  <c:v>302.73145293834045</c:v>
                </c:pt>
                <c:pt idx="974">
                  <c:v>368.48510503115199</c:v>
                </c:pt>
                <c:pt idx="975">
                  <c:v>300.13928331995811</c:v>
                </c:pt>
                <c:pt idx="976">
                  <c:v>333.90270232756302</c:v>
                </c:pt>
                <c:pt idx="977">
                  <c:v>184.43817443369372</c:v>
                </c:pt>
                <c:pt idx="978">
                  <c:v>301.92588696361003</c:v>
                </c:pt>
                <c:pt idx="979">
                  <c:v>159.55459293551669</c:v>
                </c:pt>
                <c:pt idx="980">
                  <c:v>306.59660394768207</c:v>
                </c:pt>
                <c:pt idx="981">
                  <c:v>81.770982097121674</c:v>
                </c:pt>
                <c:pt idx="982">
                  <c:v>329.97956685627622</c:v>
                </c:pt>
                <c:pt idx="983">
                  <c:v>172.12826236519288</c:v>
                </c:pt>
                <c:pt idx="984">
                  <c:v>94.436928832902481</c:v>
                </c:pt>
                <c:pt idx="985">
                  <c:v>166.19918199847206</c:v>
                </c:pt>
                <c:pt idx="986">
                  <c:v>59.372593119830896</c:v>
                </c:pt>
                <c:pt idx="987">
                  <c:v>326.57028056816239</c:v>
                </c:pt>
                <c:pt idx="988">
                  <c:v>249.99004838987756</c:v>
                </c:pt>
                <c:pt idx="989">
                  <c:v>251.56042855331947</c:v>
                </c:pt>
                <c:pt idx="990">
                  <c:v>133.52436031136384</c:v>
                </c:pt>
                <c:pt idx="991">
                  <c:v>65.004985339858052</c:v>
                </c:pt>
                <c:pt idx="992">
                  <c:v>59.958664231792014</c:v>
                </c:pt>
                <c:pt idx="993">
                  <c:v>77.197621144738434</c:v>
                </c:pt>
                <c:pt idx="994">
                  <c:v>329.9673703179356</c:v>
                </c:pt>
                <c:pt idx="995">
                  <c:v>128.7698861865378</c:v>
                </c:pt>
                <c:pt idx="996">
                  <c:v>192.68177862638294</c:v>
                </c:pt>
                <c:pt idx="997">
                  <c:v>93.540630938357424</c:v>
                </c:pt>
                <c:pt idx="998">
                  <c:v>124.90832403289585</c:v>
                </c:pt>
                <c:pt idx="999">
                  <c:v>255.59838676597732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6-48CF-9140-1348FF459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289887"/>
        <c:axId val="1334290847"/>
      </c:lineChart>
      <c:catAx>
        <c:axId val="133428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90847"/>
        <c:crosses val="autoZero"/>
        <c:auto val="1"/>
        <c:lblAlgn val="ctr"/>
        <c:lblOffset val="100"/>
        <c:noMultiLvlLbl val="0"/>
      </c:catAx>
      <c:valAx>
        <c:axId val="13342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8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69981</xdr:colOff>
      <xdr:row>990</xdr:row>
      <xdr:rowOff>179613</xdr:rowOff>
    </xdr:from>
    <xdr:to>
      <xdr:col>40</xdr:col>
      <xdr:colOff>513183</xdr:colOff>
      <xdr:row>1008</xdr:row>
      <xdr:rowOff>171060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74BBB-5446-7566-8983-787ACCBE5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topLeftCell="P975" zoomScale="70" zoomScaleNormal="70" workbookViewId="0">
      <selection activeCell="AJ990" sqref="AJ990"/>
    </sheetView>
  </sheetViews>
  <sheetFormatPr defaultRowHeight="14.6"/>
  <cols>
    <col min="1" max="1" width="13.765625" customWidth="1"/>
    <col min="2" max="2" width="8.53515625" bestFit="1" customWidth="1"/>
    <col min="3" max="3" width="23.69140625" customWidth="1"/>
    <col min="4" max="4" width="20.3046875" customWidth="1"/>
    <col min="7" max="7" width="12.61328125" customWidth="1"/>
    <col min="9" max="9" width="13" bestFit="1" customWidth="1"/>
    <col min="10" max="10" width="13" customWidth="1"/>
    <col min="11" max="11" width="16.3046875" customWidth="1"/>
    <col min="12" max="12" width="12.765625" customWidth="1"/>
    <col min="13" max="13" width="15.4609375" bestFit="1" customWidth="1"/>
    <col min="14" max="14" width="14.69140625" bestFit="1" customWidth="1"/>
    <col min="15" max="15" width="11.84375" bestFit="1" customWidth="1"/>
    <col min="18" max="21" width="9.3046875" bestFit="1" customWidth="1"/>
    <col min="22" max="22" width="11.84375" bestFit="1" customWidth="1"/>
    <col min="24" max="24" width="20.07421875" customWidth="1"/>
    <col min="25" max="25" width="22.07421875" customWidth="1"/>
    <col min="26" max="26" width="17.15234375" customWidth="1"/>
  </cols>
  <sheetData>
    <row r="1" spans="1:26" ht="18.45">
      <c r="A1" s="43" t="s">
        <v>34</v>
      </c>
      <c r="B1" s="43"/>
      <c r="C1" s="43"/>
      <c r="D1" s="43"/>
      <c r="E1" s="44"/>
      <c r="F1" s="39" t="s">
        <v>30</v>
      </c>
      <c r="G1" s="39"/>
      <c r="H1" s="39"/>
      <c r="I1" s="39"/>
      <c r="J1" s="39" t="s">
        <v>31</v>
      </c>
      <c r="K1" s="39"/>
      <c r="L1" s="39"/>
      <c r="M1" s="39"/>
      <c r="N1" s="39"/>
      <c r="O1" s="39"/>
      <c r="Q1" s="40" t="s">
        <v>32</v>
      </c>
      <c r="R1" s="41"/>
      <c r="S1" s="41"/>
      <c r="T1" s="41"/>
      <c r="U1" s="41"/>
      <c r="V1" s="42"/>
      <c r="W1" s="29"/>
      <c r="X1" s="40" t="s">
        <v>33</v>
      </c>
      <c r="Y1" s="42"/>
      <c r="Z1" s="10" t="s">
        <v>35</v>
      </c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1" t="s">
        <v>18</v>
      </c>
      <c r="G2" s="11" t="s">
        <v>19</v>
      </c>
      <c r="H2" s="12" t="s">
        <v>1</v>
      </c>
      <c r="I2" s="13" t="s">
        <v>20</v>
      </c>
      <c r="J2" s="3" t="s">
        <v>21</v>
      </c>
      <c r="K2" s="3" t="s">
        <v>19</v>
      </c>
      <c r="L2" s="3" t="s">
        <v>20</v>
      </c>
      <c r="M2" s="3" t="s">
        <v>2</v>
      </c>
      <c r="N2" s="3" t="s">
        <v>3</v>
      </c>
      <c r="O2" s="3" t="s">
        <v>4</v>
      </c>
      <c r="Q2" s="15" t="s">
        <v>22</v>
      </c>
      <c r="R2" s="16">
        <f t="array" ref="R2:V6">MMULT(TRANSPOSE(J3:O1002), J3:O1002)</f>
        <v>1000</v>
      </c>
      <c r="S2" s="16">
        <v>4009</v>
      </c>
      <c r="T2" s="16">
        <v>3445</v>
      </c>
      <c r="U2" s="16">
        <v>5506.7087219095138</v>
      </c>
      <c r="V2" s="17">
        <v>104026.72268036299</v>
      </c>
      <c r="X2" s="21" t="s">
        <v>26</v>
      </c>
      <c r="Y2" s="21" t="s">
        <v>27</v>
      </c>
    </row>
    <row r="3" spans="1:26">
      <c r="A3" s="2" t="s">
        <v>5</v>
      </c>
      <c r="B3" s="2" t="s">
        <v>12</v>
      </c>
      <c r="C3" s="2">
        <v>3.069591453019775</v>
      </c>
      <c r="D3" s="2">
        <v>19.147138835887159</v>
      </c>
      <c r="E3" s="2">
        <v>87.902667102905781</v>
      </c>
      <c r="F3" s="8" t="s">
        <v>5</v>
      </c>
      <c r="G3" s="8">
        <v>1</v>
      </c>
      <c r="H3" s="8" t="s">
        <v>12</v>
      </c>
      <c r="I3" s="14">
        <v>1</v>
      </c>
      <c r="J3" s="4">
        <v>1</v>
      </c>
      <c r="K3" s="4">
        <f>VLOOKUP(A3, $F$3:$G$9, 2, FALSE)</f>
        <v>1</v>
      </c>
      <c r="L3" s="4">
        <f>VLOOKUP(B3, $H$3:$I$8, 2, FALSE)</f>
        <v>1</v>
      </c>
      <c r="M3" s="4">
        <v>3.069591453019775</v>
      </c>
      <c r="N3" s="4">
        <v>19.147138835887159</v>
      </c>
      <c r="O3" s="4">
        <v>87.902667102905781</v>
      </c>
      <c r="Q3" s="5"/>
      <c r="R3">
        <v>4009</v>
      </c>
      <c r="S3">
        <v>20143</v>
      </c>
      <c r="T3">
        <v>13753</v>
      </c>
      <c r="U3">
        <v>22252.449045146681</v>
      </c>
      <c r="V3" s="18">
        <v>414996.35055005475</v>
      </c>
      <c r="X3" s="22">
        <f>$U$16+$U$17*K3+$U$18*L3+$U$19*M3+$U$20*N3</f>
        <v>69.932166252630864</v>
      </c>
      <c r="Y3" s="2">
        <f>POWER(O3-X3,2)</f>
        <v>322.93890080973148</v>
      </c>
    </row>
    <row r="4" spans="1:26">
      <c r="A4" s="2" t="s">
        <v>6</v>
      </c>
      <c r="B4" s="2" t="s">
        <v>13</v>
      </c>
      <c r="C4" s="2">
        <v>2.9179423362257499</v>
      </c>
      <c r="D4" s="2">
        <v>181.5500490864776</v>
      </c>
      <c r="E4" s="2">
        <v>268.06373279803631</v>
      </c>
      <c r="F4" s="8" t="s">
        <v>7</v>
      </c>
      <c r="G4" s="8">
        <v>2</v>
      </c>
      <c r="H4" s="9" t="s">
        <v>13</v>
      </c>
      <c r="I4" s="14">
        <v>2</v>
      </c>
      <c r="J4" s="4">
        <v>1</v>
      </c>
      <c r="K4" s="4">
        <f t="shared" ref="K4:K67" si="0">VLOOKUP(A4, $F$3:$G$9, 2, FALSE)</f>
        <v>3</v>
      </c>
      <c r="L4" s="4">
        <f t="shared" ref="L4:L67" si="1">VLOOKUP(B4, $H$3:$I$8, 2, FALSE)</f>
        <v>2</v>
      </c>
      <c r="M4" s="4">
        <v>2.9179423362257499</v>
      </c>
      <c r="N4" s="4">
        <v>181.5500490864776</v>
      </c>
      <c r="O4" s="4">
        <v>268.06373279803631</v>
      </c>
      <c r="Q4" s="5"/>
      <c r="R4">
        <v>3445</v>
      </c>
      <c r="S4">
        <v>13753</v>
      </c>
      <c r="T4">
        <v>14765</v>
      </c>
      <c r="U4">
        <v>18842.489255553402</v>
      </c>
      <c r="V4" s="18">
        <v>361644.28878005157</v>
      </c>
      <c r="X4" s="22">
        <f t="shared" ref="X4:X67" si="2">$U$16+$U$17*K4+$U$18*L4+$U$19*M4+$U$20*N4</f>
        <v>307.85818203842604</v>
      </c>
      <c r="Y4" s="2">
        <f t="shared" ref="Y4:Y67" si="3">POWER(O4-X4,2)</f>
        <v>1583.5981903459542</v>
      </c>
    </row>
    <row r="5" spans="1:26">
      <c r="A5" s="2" t="s">
        <v>7</v>
      </c>
      <c r="B5" s="2" t="s">
        <v>14</v>
      </c>
      <c r="C5" s="2">
        <v>1.2802067459606019</v>
      </c>
      <c r="D5" s="2">
        <v>171.9301361343245</v>
      </c>
      <c r="E5" s="2">
        <v>237.53465197420101</v>
      </c>
      <c r="F5" s="8" t="s">
        <v>6</v>
      </c>
      <c r="G5" s="8">
        <v>3</v>
      </c>
      <c r="H5" s="8" t="s">
        <v>14</v>
      </c>
      <c r="I5" s="14">
        <v>3</v>
      </c>
      <c r="J5" s="4">
        <v>1</v>
      </c>
      <c r="K5" s="4">
        <f t="shared" si="0"/>
        <v>2</v>
      </c>
      <c r="L5" s="4">
        <f t="shared" si="1"/>
        <v>3</v>
      </c>
      <c r="M5" s="4">
        <v>1.2802067459606019</v>
      </c>
      <c r="N5" s="4">
        <v>171.9301361343245</v>
      </c>
      <c r="O5" s="4">
        <v>237.53465197420101</v>
      </c>
      <c r="Q5" s="5"/>
      <c r="R5">
        <v>5506.7087219095138</v>
      </c>
      <c r="S5">
        <v>22252.449045146681</v>
      </c>
      <c r="T5">
        <v>18842.489255553402</v>
      </c>
      <c r="U5">
        <v>37075.015100553588</v>
      </c>
      <c r="V5" s="18">
        <v>573046.97431414446</v>
      </c>
      <c r="X5" s="22">
        <f t="shared" si="2"/>
        <v>273.96197804706708</v>
      </c>
      <c r="Y5" s="2">
        <f t="shared" si="3"/>
        <v>1326.950084818908</v>
      </c>
    </row>
    <row r="6" spans="1:26">
      <c r="A6" s="2" t="s">
        <v>5</v>
      </c>
      <c r="B6" s="2" t="s">
        <v>15</v>
      </c>
      <c r="C6" s="2">
        <v>6.8650014283829659</v>
      </c>
      <c r="D6" s="2">
        <v>136.88288981301719</v>
      </c>
      <c r="E6" s="2">
        <v>206.6488820352821</v>
      </c>
      <c r="F6" s="8" t="s">
        <v>8</v>
      </c>
      <c r="G6" s="8">
        <v>4</v>
      </c>
      <c r="H6" s="8" t="s">
        <v>15</v>
      </c>
      <c r="I6" s="14">
        <v>4</v>
      </c>
      <c r="J6" s="4">
        <v>1</v>
      </c>
      <c r="K6" s="4">
        <f t="shared" si="0"/>
        <v>1</v>
      </c>
      <c r="L6" s="4">
        <f t="shared" si="1"/>
        <v>4</v>
      </c>
      <c r="M6" s="4">
        <v>6.8650014283829659</v>
      </c>
      <c r="N6" s="4">
        <v>136.88288981301719</v>
      </c>
      <c r="O6" s="4">
        <v>206.6488820352821</v>
      </c>
      <c r="Q6" s="6"/>
      <c r="R6" s="7">
        <v>104026.72268036299</v>
      </c>
      <c r="S6" s="7">
        <v>414996.35055005475</v>
      </c>
      <c r="T6" s="7">
        <v>361644.28878005157</v>
      </c>
      <c r="U6" s="7">
        <v>573046.97431414446</v>
      </c>
      <c r="V6" s="19">
        <v>13847910.588846734</v>
      </c>
      <c r="X6" s="22">
        <f t="shared" si="2"/>
        <v>291.21833298227261</v>
      </c>
      <c r="Y6" s="2">
        <f t="shared" si="3"/>
        <v>7151.9920334754352</v>
      </c>
    </row>
    <row r="7" spans="1:26">
      <c r="A7" s="2" t="s">
        <v>8</v>
      </c>
      <c r="B7" s="2" t="s">
        <v>15</v>
      </c>
      <c r="C7" s="2">
        <v>4.3167370935138507</v>
      </c>
      <c r="D7" s="2">
        <v>122.712098320403</v>
      </c>
      <c r="E7" s="2">
        <v>203.7105770202518</v>
      </c>
      <c r="F7" s="8" t="s">
        <v>9</v>
      </c>
      <c r="G7" s="8">
        <v>5</v>
      </c>
      <c r="H7" s="8" t="s">
        <v>16</v>
      </c>
      <c r="I7" s="14">
        <v>5</v>
      </c>
      <c r="J7" s="4">
        <v>1</v>
      </c>
      <c r="K7" s="4">
        <f t="shared" si="0"/>
        <v>4</v>
      </c>
      <c r="L7" s="4">
        <f t="shared" si="1"/>
        <v>4</v>
      </c>
      <c r="M7" s="4">
        <v>4.3167370935138507</v>
      </c>
      <c r="N7" s="4">
        <v>122.712098320403</v>
      </c>
      <c r="O7" s="4">
        <v>203.7105770202518</v>
      </c>
      <c r="X7" s="22">
        <f t="shared" si="2"/>
        <v>236.65977525728113</v>
      </c>
      <c r="Y7" s="2">
        <f t="shared" si="3"/>
        <v>1085.6496644630561</v>
      </c>
    </row>
    <row r="8" spans="1:26">
      <c r="A8" s="2" t="s">
        <v>7</v>
      </c>
      <c r="B8" s="2" t="s">
        <v>16</v>
      </c>
      <c r="C8" s="2">
        <v>8.7792242485567336</v>
      </c>
      <c r="D8" s="2">
        <v>179.53747464653389</v>
      </c>
      <c r="E8" s="2">
        <v>291.4675866540415</v>
      </c>
      <c r="F8" s="8" t="s">
        <v>10</v>
      </c>
      <c r="G8" s="8">
        <v>6</v>
      </c>
      <c r="H8" s="8" t="s">
        <v>17</v>
      </c>
      <c r="I8" s="14">
        <v>6</v>
      </c>
      <c r="J8" s="4">
        <v>1</v>
      </c>
      <c r="K8" s="4">
        <f t="shared" si="0"/>
        <v>2</v>
      </c>
      <c r="L8" s="4">
        <f t="shared" si="1"/>
        <v>5</v>
      </c>
      <c r="M8" s="4">
        <v>8.7792242485567336</v>
      </c>
      <c r="N8" s="4">
        <v>179.53747464653389</v>
      </c>
      <c r="O8" s="4">
        <v>291.4675866540415</v>
      </c>
      <c r="X8" s="22">
        <f t="shared" si="2"/>
        <v>377.33345834164663</v>
      </c>
      <c r="Y8" s="2">
        <f t="shared" si="3"/>
        <v>7372.947920672269</v>
      </c>
    </row>
    <row r="9" spans="1:26">
      <c r="A9" s="2" t="s">
        <v>7</v>
      </c>
      <c r="B9" s="2" t="s">
        <v>12</v>
      </c>
      <c r="C9" s="2">
        <v>5.2588891602240144</v>
      </c>
      <c r="D9" s="2">
        <v>45.212734110455742</v>
      </c>
      <c r="E9" s="2">
        <v>168.59525343404769</v>
      </c>
      <c r="F9" s="8" t="s">
        <v>11</v>
      </c>
      <c r="G9" s="8">
        <v>7</v>
      </c>
      <c r="H9" s="8"/>
      <c r="I9" s="14"/>
      <c r="J9" s="4">
        <v>1</v>
      </c>
      <c r="K9" s="4">
        <f t="shared" si="0"/>
        <v>2</v>
      </c>
      <c r="L9" s="4">
        <f t="shared" si="1"/>
        <v>1</v>
      </c>
      <c r="M9" s="4">
        <v>5.2588891602240144</v>
      </c>
      <c r="N9" s="4">
        <v>45.212734110455742</v>
      </c>
      <c r="O9" s="4">
        <v>168.59525343404769</v>
      </c>
      <c r="Q9" s="20" t="s">
        <v>23</v>
      </c>
      <c r="R9" s="16">
        <f t="array" ref="R9:V13">MINVERSE(R2:V6)</f>
        <v>1.7075820235061292E-2</v>
      </c>
      <c r="S9" s="16">
        <v>-9.838057166071943E-4</v>
      </c>
      <c r="T9" s="16">
        <v>-1.2067346121866821E-3</v>
      </c>
      <c r="U9" s="16">
        <v>-8.1190446467221543E-4</v>
      </c>
      <c r="V9" s="17">
        <v>-3.3680009241447935E-5</v>
      </c>
      <c r="X9" s="22">
        <f t="shared" si="2"/>
        <v>134.92104713166617</v>
      </c>
      <c r="Y9" s="2">
        <f t="shared" si="3"/>
        <v>1133.9521700953512</v>
      </c>
    </row>
    <row r="10" spans="1:26">
      <c r="A10" s="2" t="s">
        <v>5</v>
      </c>
      <c r="B10" s="2" t="s">
        <v>14</v>
      </c>
      <c r="C10" s="2">
        <v>9.7137408512324956</v>
      </c>
      <c r="D10" s="2">
        <v>25.00414081625744</v>
      </c>
      <c r="E10" s="2">
        <v>189.6973754960834</v>
      </c>
      <c r="J10" s="4">
        <v>1</v>
      </c>
      <c r="K10" s="4">
        <f t="shared" si="0"/>
        <v>1</v>
      </c>
      <c r="L10" s="4">
        <f t="shared" si="1"/>
        <v>3</v>
      </c>
      <c r="M10" s="4">
        <v>9.7137408512324956</v>
      </c>
      <c r="N10" s="4">
        <v>25.00414081625744</v>
      </c>
      <c r="O10" s="4">
        <v>189.6973754960834</v>
      </c>
      <c r="Q10" s="5"/>
      <c r="R10">
        <v>-9.838057166071943E-4</v>
      </c>
      <c r="S10">
        <v>2.460638861854528E-4</v>
      </c>
      <c r="T10">
        <v>4.4635840606715126E-6</v>
      </c>
      <c r="U10">
        <v>-6.3368736735918015E-6</v>
      </c>
      <c r="V10" s="18">
        <v>1.6201478710901378E-7</v>
      </c>
      <c r="X10" s="22">
        <f t="shared" si="2"/>
        <v>160.17544092434599</v>
      </c>
      <c r="Y10" s="2">
        <f t="shared" si="3"/>
        <v>871.5446208579441</v>
      </c>
    </row>
    <row r="11" spans="1:26">
      <c r="A11" s="2" t="s">
        <v>9</v>
      </c>
      <c r="B11" s="2" t="s">
        <v>12</v>
      </c>
      <c r="C11" s="2">
        <v>2.66972964132809</v>
      </c>
      <c r="D11" s="2">
        <v>55.506932282812237</v>
      </c>
      <c r="E11" s="2">
        <v>112.43857368568131</v>
      </c>
      <c r="J11" s="4">
        <v>1</v>
      </c>
      <c r="K11" s="4">
        <f t="shared" si="0"/>
        <v>5</v>
      </c>
      <c r="L11" s="4">
        <f t="shared" si="1"/>
        <v>1</v>
      </c>
      <c r="M11" s="4">
        <v>2.66972964132809</v>
      </c>
      <c r="N11" s="4">
        <v>55.506932282812237</v>
      </c>
      <c r="O11" s="4">
        <v>112.43857368568131</v>
      </c>
      <c r="Q11" s="5"/>
      <c r="R11">
        <v>-1.206734612186681E-3</v>
      </c>
      <c r="S11">
        <v>4.4635840606714575E-6</v>
      </c>
      <c r="T11">
        <v>3.4598238438108322E-4</v>
      </c>
      <c r="U11">
        <v>6.4607000260616756E-6</v>
      </c>
      <c r="V11" s="18">
        <v>-3.7150457779280658E-7</v>
      </c>
      <c r="X11" s="22">
        <f t="shared" si="2"/>
        <v>116.21612241832406</v>
      </c>
      <c r="Y11" s="2">
        <f t="shared" si="3"/>
        <v>14.269874427490896</v>
      </c>
    </row>
    <row r="12" spans="1:26">
      <c r="A12" s="2" t="s">
        <v>8</v>
      </c>
      <c r="B12" s="2" t="s">
        <v>14</v>
      </c>
      <c r="C12" s="2">
        <v>8.817608511600497</v>
      </c>
      <c r="D12" s="2">
        <v>160.96987295303609</v>
      </c>
      <c r="E12" s="2">
        <v>339.64178747682922</v>
      </c>
      <c r="J12" s="4">
        <v>1</v>
      </c>
      <c r="K12" s="4">
        <f t="shared" si="0"/>
        <v>4</v>
      </c>
      <c r="L12" s="4">
        <f t="shared" si="1"/>
        <v>3</v>
      </c>
      <c r="M12" s="4">
        <v>8.817608511600497</v>
      </c>
      <c r="N12" s="4">
        <v>160.96987295303609</v>
      </c>
      <c r="O12" s="4">
        <v>339.64178747682922</v>
      </c>
      <c r="Q12" s="5"/>
      <c r="R12">
        <v>-8.1190446467221554E-4</v>
      </c>
      <c r="S12">
        <v>-6.336873673591849E-6</v>
      </c>
      <c r="T12">
        <v>6.4607000260617653E-6</v>
      </c>
      <c r="U12">
        <v>1.4841087623340796E-4</v>
      </c>
      <c r="V12" s="18">
        <v>-2.1182893049983551E-8</v>
      </c>
      <c r="X12" s="22">
        <f t="shared" si="2"/>
        <v>349.07830954571375</v>
      </c>
      <c r="Y12" s="2">
        <f t="shared" si="3"/>
        <v>89.047948756544741</v>
      </c>
    </row>
    <row r="13" spans="1:26">
      <c r="A13" s="2" t="s">
        <v>5</v>
      </c>
      <c r="B13" s="2" t="s">
        <v>16</v>
      </c>
      <c r="C13" s="2">
        <v>7.9893716751256756</v>
      </c>
      <c r="D13" s="2">
        <v>16.587350678031829</v>
      </c>
      <c r="E13" s="2">
        <v>114.1322724995289</v>
      </c>
      <c r="J13" s="4">
        <v>1</v>
      </c>
      <c r="K13" s="4">
        <f t="shared" si="0"/>
        <v>1</v>
      </c>
      <c r="L13" s="4">
        <f t="shared" si="1"/>
        <v>5</v>
      </c>
      <c r="M13" s="4">
        <v>7.9893716751256756</v>
      </c>
      <c r="N13" s="4">
        <v>16.587350678031829</v>
      </c>
      <c r="O13" s="4">
        <v>114.1322724995289</v>
      </c>
      <c r="Q13" s="6"/>
      <c r="R13" s="7">
        <v>-3.3680009241447942E-5</v>
      </c>
      <c r="S13" s="7">
        <v>1.6201478710901624E-7</v>
      </c>
      <c r="T13" s="7">
        <v>-3.715045777928034E-7</v>
      </c>
      <c r="U13" s="7">
        <v>-2.118289304998498E-8</v>
      </c>
      <c r="V13" s="19">
        <v>3.3094355339944279E-7</v>
      </c>
      <c r="X13" s="22">
        <f t="shared" si="2"/>
        <v>126.15466482724642</v>
      </c>
      <c r="Y13" s="2">
        <f t="shared" si="3"/>
        <v>144.53791728156122</v>
      </c>
    </row>
    <row r="14" spans="1:26">
      <c r="A14" s="2" t="s">
        <v>8</v>
      </c>
      <c r="B14" s="2" t="s">
        <v>16</v>
      </c>
      <c r="C14" s="2">
        <v>7.938296601796468</v>
      </c>
      <c r="D14" s="2">
        <v>120.733298665863</v>
      </c>
      <c r="E14" s="2">
        <v>318.63949109243009</v>
      </c>
      <c r="J14" s="4">
        <v>1</v>
      </c>
      <c r="K14" s="4">
        <f t="shared" si="0"/>
        <v>4</v>
      </c>
      <c r="L14" s="4">
        <f t="shared" si="1"/>
        <v>5</v>
      </c>
      <c r="M14" s="4">
        <v>7.938296601796468</v>
      </c>
      <c r="N14" s="4">
        <v>120.733298665863</v>
      </c>
      <c r="O14" s="4">
        <v>318.63949109243009</v>
      </c>
      <c r="X14" s="22">
        <f t="shared" si="2"/>
        <v>278.17663781498163</v>
      </c>
      <c r="Y14" s="2">
        <f t="shared" si="3"/>
        <v>1637.2424953523216</v>
      </c>
    </row>
    <row r="15" spans="1:26">
      <c r="A15" s="2" t="s">
        <v>8</v>
      </c>
      <c r="B15" s="2" t="s">
        <v>15</v>
      </c>
      <c r="C15" s="2">
        <v>8.6030490530519899</v>
      </c>
      <c r="D15" s="2">
        <v>199.1331280763489</v>
      </c>
      <c r="E15" s="2">
        <v>437.17506550387259</v>
      </c>
      <c r="J15" s="4">
        <v>1</v>
      </c>
      <c r="K15" s="4">
        <f t="shared" si="0"/>
        <v>4</v>
      </c>
      <c r="L15" s="4">
        <f t="shared" si="1"/>
        <v>4</v>
      </c>
      <c r="M15" s="4">
        <v>8.6030490530519899</v>
      </c>
      <c r="N15" s="4">
        <v>199.1331280763489</v>
      </c>
      <c r="O15" s="4">
        <v>437.17506550387259</v>
      </c>
      <c r="X15" s="22">
        <f t="shared" si="2"/>
        <v>403.01109887819177</v>
      </c>
      <c r="Y15" s="2">
        <f t="shared" si="3"/>
        <v>1167.1766156006324</v>
      </c>
    </row>
    <row r="16" spans="1:26">
      <c r="A16" s="2" t="s">
        <v>7</v>
      </c>
      <c r="B16" s="2" t="s">
        <v>12</v>
      </c>
      <c r="C16" s="2">
        <v>7.8492159184869896</v>
      </c>
      <c r="D16" s="2">
        <v>172.58225782913249</v>
      </c>
      <c r="E16" s="2">
        <v>371.28003378163288</v>
      </c>
      <c r="J16" s="4">
        <v>1</v>
      </c>
      <c r="K16" s="4">
        <f t="shared" si="0"/>
        <v>2</v>
      </c>
      <c r="L16" s="4">
        <f t="shared" si="1"/>
        <v>1</v>
      </c>
      <c r="M16" s="4">
        <v>7.8492159184869896</v>
      </c>
      <c r="N16" s="4">
        <v>172.58225782913249</v>
      </c>
      <c r="O16" s="4">
        <v>371.28003378163288</v>
      </c>
      <c r="Q16" s="20" t="s">
        <v>24</v>
      </c>
      <c r="R16" s="17">
        <f t="array" ref="R16:R20">MMULT(TRANSPOSE(J3:N1002),O3:O1002)</f>
        <v>223616.06355757403</v>
      </c>
      <c r="T16" s="20" t="s">
        <v>25</v>
      </c>
      <c r="U16" s="17">
        <f t="array" ref="U16:U20">MMULT(R9:V13,R16:R20)</f>
        <v>4.5237908939806175</v>
      </c>
      <c r="X16" s="22">
        <f t="shared" si="2"/>
        <v>356.10176499896801</v>
      </c>
      <c r="Y16" s="2">
        <f t="shared" si="3"/>
        <v>230.37984323881901</v>
      </c>
    </row>
    <row r="17" spans="1:25">
      <c r="A17" s="2" t="s">
        <v>6</v>
      </c>
      <c r="B17" s="2" t="s">
        <v>17</v>
      </c>
      <c r="C17" s="2">
        <v>6.6359828946827388</v>
      </c>
      <c r="D17" s="2">
        <v>109.074680918282</v>
      </c>
      <c r="E17" s="2">
        <v>267.04141178229969</v>
      </c>
      <c r="J17" s="4">
        <v>1</v>
      </c>
      <c r="K17" s="4">
        <f t="shared" si="0"/>
        <v>3</v>
      </c>
      <c r="L17" s="4">
        <f t="shared" si="1"/>
        <v>6</v>
      </c>
      <c r="M17" s="4">
        <v>6.6359828946827388</v>
      </c>
      <c r="N17" s="4">
        <v>109.074680918282</v>
      </c>
      <c r="O17" s="4">
        <v>267.04141178229969</v>
      </c>
      <c r="Q17" s="5"/>
      <c r="R17" s="18">
        <v>892734.97841883078</v>
      </c>
      <c r="T17" s="5"/>
      <c r="U17" s="18">
        <v>-0.70651282829336015</v>
      </c>
      <c r="X17" s="22">
        <f t="shared" si="2"/>
        <v>245.38119391336895</v>
      </c>
      <c r="Y17" s="2">
        <f t="shared" si="3"/>
        <v>469.1650381295467</v>
      </c>
    </row>
    <row r="18" spans="1:25">
      <c r="A18" s="2" t="s">
        <v>8</v>
      </c>
      <c r="B18" s="2" t="s">
        <v>15</v>
      </c>
      <c r="C18" s="2">
        <v>2.1812038991414879</v>
      </c>
      <c r="D18" s="2">
        <v>22.09177276446205</v>
      </c>
      <c r="E18" s="2">
        <v>63.302869464084097</v>
      </c>
      <c r="J18" s="4">
        <v>1</v>
      </c>
      <c r="K18" s="4">
        <f t="shared" si="0"/>
        <v>4</v>
      </c>
      <c r="L18" s="4">
        <f t="shared" si="1"/>
        <v>4</v>
      </c>
      <c r="M18" s="4">
        <v>2.1812038991414879</v>
      </c>
      <c r="N18" s="4">
        <v>22.09177276446205</v>
      </c>
      <c r="O18" s="4">
        <v>63.302869464084097</v>
      </c>
      <c r="Q18" s="5"/>
      <c r="R18" s="18">
        <v>773280.21250742045</v>
      </c>
      <c r="T18" s="5"/>
      <c r="U18" s="18">
        <v>-0.13918437881737411</v>
      </c>
      <c r="X18" s="22">
        <f t="shared" si="2"/>
        <v>60.831260834780451</v>
      </c>
      <c r="Y18" s="2">
        <f t="shared" si="3"/>
        <v>6.1088492164482453</v>
      </c>
    </row>
    <row r="19" spans="1:25">
      <c r="A19" s="2" t="s">
        <v>10</v>
      </c>
      <c r="B19" s="2" t="s">
        <v>12</v>
      </c>
      <c r="C19" s="2">
        <v>1.292735615421267</v>
      </c>
      <c r="D19" s="2">
        <v>167.96096773328489</v>
      </c>
      <c r="E19" s="2">
        <v>228.2948237884911</v>
      </c>
      <c r="J19" s="4">
        <v>1</v>
      </c>
      <c r="K19" s="4">
        <f t="shared" si="0"/>
        <v>6</v>
      </c>
      <c r="L19" s="4">
        <f t="shared" si="1"/>
        <v>1</v>
      </c>
      <c r="M19" s="4">
        <v>1.292735615421267</v>
      </c>
      <c r="N19" s="4">
        <v>167.96096773328489</v>
      </c>
      <c r="O19" s="4">
        <v>228.2948237884911</v>
      </c>
      <c r="Q19" s="5"/>
      <c r="R19" s="18">
        <v>1314717.8620035029</v>
      </c>
      <c r="T19" s="5"/>
      <c r="U19" s="18">
        <v>12.314232363768038</v>
      </c>
      <c r="X19" s="22">
        <f t="shared" si="2"/>
        <v>265.67002943075443</v>
      </c>
      <c r="Y19" s="2">
        <f t="shared" si="3"/>
        <v>1396.9059968014722</v>
      </c>
    </row>
    <row r="20" spans="1:25">
      <c r="A20" s="2" t="s">
        <v>7</v>
      </c>
      <c r="B20" s="2" t="s">
        <v>15</v>
      </c>
      <c r="C20" s="2">
        <v>9.287630630341182</v>
      </c>
      <c r="D20" s="2">
        <v>123.80591655367</v>
      </c>
      <c r="E20" s="2">
        <v>335.95690892799172</v>
      </c>
      <c r="J20" s="4">
        <v>1</v>
      </c>
      <c r="K20" s="4">
        <f t="shared" si="0"/>
        <v>2</v>
      </c>
      <c r="L20" s="4">
        <f t="shared" si="1"/>
        <v>4</v>
      </c>
      <c r="M20" s="4">
        <v>9.287630630341182</v>
      </c>
      <c r="N20" s="4">
        <v>123.80591655367</v>
      </c>
      <c r="O20" s="4">
        <v>335.95690892799172</v>
      </c>
      <c r="Q20" s="6"/>
      <c r="R20" s="19">
        <v>27762962.619858775</v>
      </c>
      <c r="T20" s="6"/>
      <c r="U20" s="19">
        <v>1.4860920159051378</v>
      </c>
      <c r="X20" s="22">
        <f t="shared" si="2"/>
        <v>300.91105352522186</v>
      </c>
      <c r="Y20" s="2">
        <f t="shared" si="3"/>
        <v>1228.2119809118533</v>
      </c>
    </row>
    <row r="21" spans="1:25">
      <c r="A21" s="2" t="s">
        <v>9</v>
      </c>
      <c r="B21" s="2" t="s">
        <v>17</v>
      </c>
      <c r="C21" s="2">
        <v>6.5498528306866426</v>
      </c>
      <c r="D21" s="2">
        <v>31.837269441317702</v>
      </c>
      <c r="E21" s="2">
        <v>170.5912085180702</v>
      </c>
      <c r="J21" s="4">
        <v>1</v>
      </c>
      <c r="K21" s="4">
        <f t="shared" si="0"/>
        <v>5</v>
      </c>
      <c r="L21" s="4">
        <f t="shared" si="1"/>
        <v>6</v>
      </c>
      <c r="M21" s="4">
        <v>6.5498528306866426</v>
      </c>
      <c r="N21" s="4">
        <v>31.837269441317702</v>
      </c>
      <c r="O21" s="4">
        <v>170.5912085180702</v>
      </c>
      <c r="X21" s="22">
        <f t="shared" si="2"/>
        <v>128.12564211013159</v>
      </c>
      <c r="Y21" s="2">
        <f t="shared" si="3"/>
        <v>1803.324330347044</v>
      </c>
    </row>
    <row r="22" spans="1:25">
      <c r="A22" s="2" t="s">
        <v>6</v>
      </c>
      <c r="B22" s="2" t="s">
        <v>13</v>
      </c>
      <c r="C22" s="2">
        <v>8.168835618785586</v>
      </c>
      <c r="D22" s="2">
        <v>27.832884116437679</v>
      </c>
      <c r="E22" s="2">
        <v>129.08869182762149</v>
      </c>
      <c r="J22" s="4">
        <v>1</v>
      </c>
      <c r="K22" s="4">
        <f t="shared" si="0"/>
        <v>3</v>
      </c>
      <c r="L22" s="4">
        <f t="shared" si="1"/>
        <v>2</v>
      </c>
      <c r="M22" s="4">
        <v>8.168835618785586</v>
      </c>
      <c r="N22" s="4">
        <v>27.832884116437679</v>
      </c>
      <c r="O22" s="4">
        <v>129.08869182762149</v>
      </c>
      <c r="X22" s="22">
        <f t="shared" si="2"/>
        <v>144.08105046766732</v>
      </c>
      <c r="Y22" s="2">
        <f t="shared" si="3"/>
        <v>224.77081759175704</v>
      </c>
    </row>
    <row r="23" spans="1:25">
      <c r="A23" s="2" t="s">
        <v>10</v>
      </c>
      <c r="B23" s="2" t="s">
        <v>13</v>
      </c>
      <c r="C23" s="2">
        <v>5.3337011636129503</v>
      </c>
      <c r="D23" s="2">
        <v>182.82909569295259</v>
      </c>
      <c r="E23" s="2">
        <v>241.69827474905031</v>
      </c>
      <c r="J23" s="4">
        <v>1</v>
      </c>
      <c r="K23" s="4">
        <f t="shared" si="0"/>
        <v>6</v>
      </c>
      <c r="L23" s="4">
        <f t="shared" si="1"/>
        <v>2</v>
      </c>
      <c r="M23" s="4">
        <v>5.3337011636129503</v>
      </c>
      <c r="N23" s="4">
        <v>182.82909569295259</v>
      </c>
      <c r="O23" s="4">
        <v>241.69827474905031</v>
      </c>
      <c r="X23" s="22">
        <f t="shared" si="2"/>
        <v>337.38764003866879</v>
      </c>
      <c r="Y23" s="2">
        <f t="shared" si="3"/>
        <v>9156.4546295300424</v>
      </c>
    </row>
    <row r="24" spans="1:25">
      <c r="A24" s="2" t="s">
        <v>10</v>
      </c>
      <c r="B24" s="2" t="s">
        <v>13</v>
      </c>
      <c r="C24" s="2">
        <v>2.05577370066155</v>
      </c>
      <c r="D24" s="2">
        <v>137.14804995823491</v>
      </c>
      <c r="E24" s="2">
        <v>248.35314105200729</v>
      </c>
      <c r="J24" s="4">
        <v>1</v>
      </c>
      <c r="K24" s="4">
        <f t="shared" si="0"/>
        <v>6</v>
      </c>
      <c r="L24" s="4">
        <f t="shared" si="1"/>
        <v>2</v>
      </c>
      <c r="M24" s="4">
        <v>2.05577370066155</v>
      </c>
      <c r="N24" s="4">
        <v>137.14804995823491</v>
      </c>
      <c r="O24" s="4">
        <v>248.35314105200729</v>
      </c>
      <c r="X24" s="22">
        <f t="shared" si="2"/>
        <v>229.13624224374723</v>
      </c>
      <c r="Y24" s="2">
        <f t="shared" si="3"/>
        <v>369.28919980690671</v>
      </c>
    </row>
    <row r="25" spans="1:25">
      <c r="A25" s="2" t="s">
        <v>9</v>
      </c>
      <c r="B25" s="2" t="s">
        <v>13</v>
      </c>
      <c r="C25" s="2">
        <v>2.1266721298229538</v>
      </c>
      <c r="D25" s="2">
        <v>167.56449187018359</v>
      </c>
      <c r="E25" s="2">
        <v>237.13544086934749</v>
      </c>
      <c r="J25" s="4">
        <v>1</v>
      </c>
      <c r="K25" s="4">
        <f t="shared" si="0"/>
        <v>5</v>
      </c>
      <c r="L25" s="4">
        <f t="shared" si="1"/>
        <v>2</v>
      </c>
      <c r="M25" s="4">
        <v>2.1266721298229538</v>
      </c>
      <c r="N25" s="4">
        <v>167.56449187018359</v>
      </c>
      <c r="O25" s="4">
        <v>237.13544086934749</v>
      </c>
      <c r="X25" s="22">
        <f t="shared" si="2"/>
        <v>275.9174462805496</v>
      </c>
      <c r="Y25" s="2">
        <f t="shared" si="3"/>
        <v>1504.0439437145094</v>
      </c>
    </row>
    <row r="26" spans="1:25">
      <c r="A26" s="2" t="s">
        <v>6</v>
      </c>
      <c r="B26" s="2" t="s">
        <v>14</v>
      </c>
      <c r="C26" s="2">
        <v>7.1700875850607426</v>
      </c>
      <c r="D26" s="2">
        <v>177.00599105363079</v>
      </c>
      <c r="E26" s="2">
        <v>304.67317665378027</v>
      </c>
      <c r="J26" s="4">
        <v>1</v>
      </c>
      <c r="K26" s="4">
        <f t="shared" si="0"/>
        <v>3</v>
      </c>
      <c r="L26" s="4">
        <f t="shared" si="1"/>
        <v>3</v>
      </c>
      <c r="M26" s="4">
        <v>7.1700875850607426</v>
      </c>
      <c r="N26" s="4">
        <v>177.00599105363079</v>
      </c>
      <c r="O26" s="4">
        <v>304.67317665378027</v>
      </c>
      <c r="X26" s="22">
        <f t="shared" si="2"/>
        <v>353.32801393583179</v>
      </c>
      <c r="Y26" s="2">
        <f t="shared" si="3"/>
        <v>2367.2931909429103</v>
      </c>
    </row>
    <row r="27" spans="1:25">
      <c r="A27" s="2" t="s">
        <v>7</v>
      </c>
      <c r="B27" s="2" t="s">
        <v>13</v>
      </c>
      <c r="C27" s="2">
        <v>4.8727530540951642</v>
      </c>
      <c r="D27" s="2">
        <v>118.6367468891812</v>
      </c>
      <c r="E27" s="2">
        <v>227.22810129711459</v>
      </c>
      <c r="J27" s="4">
        <v>1</v>
      </c>
      <c r="K27" s="4">
        <f t="shared" si="0"/>
        <v>2</v>
      </c>
      <c r="L27" s="4">
        <f t="shared" si="1"/>
        <v>2</v>
      </c>
      <c r="M27" s="4">
        <v>4.8727530540951642</v>
      </c>
      <c r="N27" s="4">
        <v>118.6367468891812</v>
      </c>
      <c r="O27" s="4">
        <v>227.22810129711459</v>
      </c>
      <c r="X27" s="22">
        <f t="shared" si="2"/>
        <v>239.14173218411824</v>
      </c>
      <c r="Y27" s="2">
        <f t="shared" si="3"/>
        <v>141.93460091176735</v>
      </c>
    </row>
    <row r="28" spans="1:25">
      <c r="A28" s="2" t="s">
        <v>11</v>
      </c>
      <c r="B28" s="2" t="s">
        <v>17</v>
      </c>
      <c r="C28" s="2">
        <v>2.8047225403030311</v>
      </c>
      <c r="D28" s="2">
        <v>108.31480683345779</v>
      </c>
      <c r="E28" s="2">
        <v>243.57952689957409</v>
      </c>
      <c r="J28" s="4">
        <v>1</v>
      </c>
      <c r="K28" s="4">
        <f t="shared" si="0"/>
        <v>7</v>
      </c>
      <c r="L28" s="4">
        <f t="shared" si="1"/>
        <v>6</v>
      </c>
      <c r="M28" s="4">
        <v>2.8047225403030311</v>
      </c>
      <c r="N28" s="4">
        <v>108.31480683345779</v>
      </c>
      <c r="O28" s="4">
        <v>243.57952689957409</v>
      </c>
      <c r="X28" s="22">
        <f t="shared" si="2"/>
        <v>194.24686953972105</v>
      </c>
      <c r="Y28" s="2">
        <f t="shared" si="3"/>
        <v>2433.7110821846627</v>
      </c>
    </row>
    <row r="29" spans="1:25">
      <c r="A29" s="2" t="s">
        <v>6</v>
      </c>
      <c r="B29" s="2" t="s">
        <v>16</v>
      </c>
      <c r="C29" s="2">
        <v>5.4243509206729321</v>
      </c>
      <c r="D29" s="2">
        <v>91.781207960988141</v>
      </c>
      <c r="E29" s="2">
        <v>166.75364533590741</v>
      </c>
      <c r="J29" s="4">
        <v>1</v>
      </c>
      <c r="K29" s="4">
        <f t="shared" si="0"/>
        <v>3</v>
      </c>
      <c r="L29" s="4">
        <f t="shared" si="1"/>
        <v>5</v>
      </c>
      <c r="M29" s="4">
        <v>5.4243509206729321</v>
      </c>
      <c r="N29" s="4">
        <v>91.781207960988141</v>
      </c>
      <c r="O29" s="4">
        <v>166.75364533590741</v>
      </c>
      <c r="X29" s="22">
        <f t="shared" si="2"/>
        <v>204.90036853575279</v>
      </c>
      <c r="Y29" s="2">
        <f t="shared" si="3"/>
        <v>1455.172490885622</v>
      </c>
    </row>
    <row r="30" spans="1:25">
      <c r="A30" s="2" t="s">
        <v>9</v>
      </c>
      <c r="B30" s="2" t="s">
        <v>16</v>
      </c>
      <c r="C30" s="2">
        <v>1.5778804336762069</v>
      </c>
      <c r="D30" s="2">
        <v>70.219851680312672</v>
      </c>
      <c r="E30" s="2">
        <v>118.18200881229851</v>
      </c>
      <c r="J30" s="4">
        <v>1</v>
      </c>
      <c r="K30" s="4">
        <f t="shared" si="0"/>
        <v>5</v>
      </c>
      <c r="L30" s="4">
        <f t="shared" si="1"/>
        <v>5</v>
      </c>
      <c r="M30" s="4">
        <v>1.5778804336762069</v>
      </c>
      <c r="N30" s="4">
        <v>70.219851680312672</v>
      </c>
      <c r="O30" s="4">
        <v>118.18200881229851</v>
      </c>
      <c r="X30" s="22">
        <f t="shared" si="2"/>
        <v>124.07885210111448</v>
      </c>
      <c r="Y30" s="2">
        <f t="shared" si="3"/>
        <v>34.772760772853978</v>
      </c>
    </row>
    <row r="31" spans="1:25">
      <c r="A31" s="2" t="s">
        <v>10</v>
      </c>
      <c r="B31" s="2" t="s">
        <v>14</v>
      </c>
      <c r="C31" s="2">
        <v>6.2377426172295891</v>
      </c>
      <c r="D31" s="2">
        <v>92.57323256315523</v>
      </c>
      <c r="E31" s="2">
        <v>240.98002233812861</v>
      </c>
      <c r="J31" s="4">
        <v>1</v>
      </c>
      <c r="K31" s="4">
        <f t="shared" si="0"/>
        <v>6</v>
      </c>
      <c r="L31" s="4">
        <f t="shared" si="1"/>
        <v>3</v>
      </c>
      <c r="M31" s="4">
        <v>6.2377426172295891</v>
      </c>
      <c r="N31" s="4">
        <v>92.57323256315523</v>
      </c>
      <c r="O31" s="4">
        <v>240.98002233812861</v>
      </c>
      <c r="X31" s="22">
        <f t="shared" si="2"/>
        <v>214.25251460034659</v>
      </c>
      <c r="Y31" s="2">
        <f t="shared" si="3"/>
        <v>714.35966987319773</v>
      </c>
    </row>
    <row r="32" spans="1:25">
      <c r="A32" s="2" t="s">
        <v>7</v>
      </c>
      <c r="B32" s="2" t="s">
        <v>13</v>
      </c>
      <c r="C32" s="2">
        <v>3.4209406399158788</v>
      </c>
      <c r="D32" s="2">
        <v>157.03713458872971</v>
      </c>
      <c r="E32" s="2">
        <v>229.72917949599929</v>
      </c>
      <c r="J32" s="4">
        <v>1</v>
      </c>
      <c r="K32" s="4">
        <f t="shared" si="0"/>
        <v>2</v>
      </c>
      <c r="L32" s="4">
        <f t="shared" si="1"/>
        <v>2</v>
      </c>
      <c r="M32" s="4">
        <v>3.4209406399158788</v>
      </c>
      <c r="N32" s="4">
        <v>157.03713458872971</v>
      </c>
      <c r="O32" s="4">
        <v>229.72917949599929</v>
      </c>
      <c r="X32" s="22">
        <f t="shared" si="2"/>
        <v>278.33028633527243</v>
      </c>
      <c r="Y32" s="2">
        <f t="shared" si="3"/>
        <v>2362.0675860024426</v>
      </c>
    </row>
    <row r="33" spans="1:25">
      <c r="A33" s="2" t="s">
        <v>6</v>
      </c>
      <c r="B33" s="2" t="s">
        <v>13</v>
      </c>
      <c r="C33" s="2">
        <v>8.1780319057346933</v>
      </c>
      <c r="D33" s="2">
        <v>124.365451892875</v>
      </c>
      <c r="E33" s="2">
        <v>326.85964702972751</v>
      </c>
      <c r="J33" s="4">
        <v>1</v>
      </c>
      <c r="K33" s="4">
        <f t="shared" si="0"/>
        <v>3</v>
      </c>
      <c r="L33" s="4">
        <f t="shared" si="1"/>
        <v>2</v>
      </c>
      <c r="M33" s="4">
        <v>8.1780319057346933</v>
      </c>
      <c r="N33" s="4">
        <v>124.365451892875</v>
      </c>
      <c r="O33" s="4">
        <v>326.85964702972751</v>
      </c>
      <c r="X33" s="22">
        <f t="shared" si="2"/>
        <v>287.65057392942759</v>
      </c>
      <c r="Y33" s="2">
        <f t="shared" si="3"/>
        <v>1537.3514133846627</v>
      </c>
    </row>
    <row r="34" spans="1:25">
      <c r="A34" s="2" t="s">
        <v>11</v>
      </c>
      <c r="B34" s="2" t="s">
        <v>13</v>
      </c>
      <c r="C34" s="2">
        <v>3.7932576303121639</v>
      </c>
      <c r="D34" s="2">
        <v>179.57942509142069</v>
      </c>
      <c r="E34" s="2">
        <v>297.20134417213347</v>
      </c>
      <c r="J34" s="4">
        <v>1</v>
      </c>
      <c r="K34" s="4">
        <f t="shared" si="0"/>
        <v>7</v>
      </c>
      <c r="L34" s="4">
        <f t="shared" si="1"/>
        <v>2</v>
      </c>
      <c r="M34" s="4">
        <v>3.7932576303121639</v>
      </c>
      <c r="N34" s="4">
        <v>179.57942509142069</v>
      </c>
      <c r="O34" s="4">
        <v>297.20134417213347</v>
      </c>
      <c r="X34" s="22">
        <f t="shared" si="2"/>
        <v>312.88243806278751</v>
      </c>
      <c r="Y34" s="2">
        <f t="shared" si="3"/>
        <v>245.89670560750747</v>
      </c>
    </row>
    <row r="35" spans="1:25">
      <c r="A35" s="2" t="s">
        <v>11</v>
      </c>
      <c r="B35" s="2" t="s">
        <v>15</v>
      </c>
      <c r="C35" s="2">
        <v>5.0969813417362104</v>
      </c>
      <c r="D35" s="2">
        <v>94.242202732045669</v>
      </c>
      <c r="E35" s="2">
        <v>165.27991643686951</v>
      </c>
      <c r="J35" s="4">
        <v>1</v>
      </c>
      <c r="K35" s="4">
        <f t="shared" si="0"/>
        <v>7</v>
      </c>
      <c r="L35" s="4">
        <f t="shared" si="1"/>
        <v>4</v>
      </c>
      <c r="M35" s="4">
        <v>5.0969813417362104</v>
      </c>
      <c r="N35" s="4">
        <v>94.242202732045669</v>
      </c>
      <c r="O35" s="4">
        <v>165.27991643686951</v>
      </c>
      <c r="X35" s="22">
        <f t="shared" si="2"/>
        <v>201.83946121799391</v>
      </c>
      <c r="Y35" s="2">
        <f t="shared" si="3"/>
        <v>1336.6003146030405</v>
      </c>
    </row>
    <row r="36" spans="1:25">
      <c r="A36" s="2" t="s">
        <v>8</v>
      </c>
      <c r="B36" s="2" t="s">
        <v>12</v>
      </c>
      <c r="C36" s="2">
        <v>1.1045848591729059</v>
      </c>
      <c r="D36" s="2">
        <v>125.3470199565633</v>
      </c>
      <c r="E36" s="2">
        <v>219.2810265064935</v>
      </c>
      <c r="J36" s="4">
        <v>1</v>
      </c>
      <c r="K36" s="4">
        <f t="shared" si="0"/>
        <v>4</v>
      </c>
      <c r="L36" s="4">
        <f t="shared" si="1"/>
        <v>1</v>
      </c>
      <c r="M36" s="4">
        <v>1.1045848591729059</v>
      </c>
      <c r="N36" s="4">
        <v>125.3470199565633</v>
      </c>
      <c r="O36" s="4">
        <v>219.2810265064935</v>
      </c>
      <c r="X36" s="22">
        <f t="shared" si="2"/>
        <v>201.43787539829566</v>
      </c>
      <c r="Y36" s="2">
        <f t="shared" si="3"/>
        <v>318.37804146998195</v>
      </c>
    </row>
    <row r="37" spans="1:25">
      <c r="A37" s="2" t="s">
        <v>8</v>
      </c>
      <c r="B37" s="2" t="s">
        <v>15</v>
      </c>
      <c r="C37" s="2">
        <v>1.65202199015103</v>
      </c>
      <c r="D37" s="2">
        <v>129.94843508747789</v>
      </c>
      <c r="E37" s="2">
        <v>179.00729934632079</v>
      </c>
      <c r="J37" s="4">
        <v>1</v>
      </c>
      <c r="K37" s="4">
        <f t="shared" si="0"/>
        <v>4</v>
      </c>
      <c r="L37" s="4">
        <f t="shared" si="1"/>
        <v>4</v>
      </c>
      <c r="M37" s="4">
        <v>1.65202199015103</v>
      </c>
      <c r="N37" s="4">
        <v>129.94843508747789</v>
      </c>
      <c r="O37" s="4">
        <v>179.00729934632079</v>
      </c>
      <c r="X37" s="22">
        <f t="shared" si="2"/>
        <v>214.59971658517995</v>
      </c>
      <c r="Y37" s="2">
        <f t="shared" si="3"/>
        <v>1266.8201649050384</v>
      </c>
    </row>
    <row r="38" spans="1:25">
      <c r="A38" s="2" t="s">
        <v>5</v>
      </c>
      <c r="B38" s="2" t="s">
        <v>12</v>
      </c>
      <c r="C38" s="2">
        <v>4.5324420076601637</v>
      </c>
      <c r="D38" s="2">
        <v>122.4224608382018</v>
      </c>
      <c r="E38" s="2">
        <v>263.55852618765527</v>
      </c>
      <c r="J38" s="4">
        <v>1</v>
      </c>
      <c r="K38" s="4">
        <f t="shared" si="0"/>
        <v>1</v>
      </c>
      <c r="L38" s="4">
        <f t="shared" si="1"/>
        <v>1</v>
      </c>
      <c r="M38" s="4">
        <v>4.5324420076601637</v>
      </c>
      <c r="N38" s="4">
        <v>122.4224608382018</v>
      </c>
      <c r="O38" s="4">
        <v>263.55852618765527</v>
      </c>
      <c r="X38" s="22">
        <f t="shared" si="2"/>
        <v>241.42267936361156</v>
      </c>
      <c r="Y38" s="2">
        <f t="shared" si="3"/>
        <v>489.995714617526</v>
      </c>
    </row>
    <row r="39" spans="1:25">
      <c r="A39" s="2" t="s">
        <v>9</v>
      </c>
      <c r="B39" s="2" t="s">
        <v>13</v>
      </c>
      <c r="C39" s="2">
        <v>5.3194495124541117</v>
      </c>
      <c r="D39" s="2">
        <v>143.5004168862481</v>
      </c>
      <c r="E39" s="2">
        <v>246.00154817925451</v>
      </c>
      <c r="J39" s="4">
        <v>1</v>
      </c>
      <c r="K39" s="4">
        <f t="shared" si="0"/>
        <v>5</v>
      </c>
      <c r="L39" s="4">
        <f t="shared" si="1"/>
        <v>2</v>
      </c>
      <c r="M39" s="4">
        <v>5.3194495124541117</v>
      </c>
      <c r="N39" s="4">
        <v>143.5004168862481</v>
      </c>
      <c r="O39" s="4">
        <v>246.00154817925451</v>
      </c>
      <c r="X39" s="22">
        <f t="shared" si="2"/>
        <v>279.47261915228376</v>
      </c>
      <c r="Y39" s="2">
        <f t="shared" si="3"/>
        <v>1120.3125920815608</v>
      </c>
    </row>
    <row r="40" spans="1:25">
      <c r="A40" s="2" t="s">
        <v>6</v>
      </c>
      <c r="B40" s="2" t="s">
        <v>13</v>
      </c>
      <c r="C40" s="2">
        <v>6.4001849330737333</v>
      </c>
      <c r="D40" s="2">
        <v>55.112358991213192</v>
      </c>
      <c r="E40" s="2">
        <v>192.15915266066671</v>
      </c>
      <c r="J40" s="4">
        <v>1</v>
      </c>
      <c r="K40" s="4">
        <f t="shared" si="0"/>
        <v>3</v>
      </c>
      <c r="L40" s="4">
        <f t="shared" si="1"/>
        <v>2</v>
      </c>
      <c r="M40" s="4">
        <v>6.4001849330737333</v>
      </c>
      <c r="N40" s="4">
        <v>55.112358991213192</v>
      </c>
      <c r="O40" s="4">
        <v>192.15915266066671</v>
      </c>
      <c r="X40" s="22">
        <f t="shared" si="2"/>
        <v>162.84128476296257</v>
      </c>
      <c r="Y40" s="2">
        <f t="shared" si="3"/>
        <v>859.53737806723052</v>
      </c>
    </row>
    <row r="41" spans="1:25">
      <c r="A41" s="2" t="s">
        <v>6</v>
      </c>
      <c r="B41" s="2" t="s">
        <v>15</v>
      </c>
      <c r="C41" s="2">
        <v>3.6249632083837291</v>
      </c>
      <c r="D41" s="2">
        <v>107.3491177337002</v>
      </c>
      <c r="E41" s="2">
        <v>247.0353452706041</v>
      </c>
      <c r="J41" s="4">
        <v>1</v>
      </c>
      <c r="K41" s="4">
        <f t="shared" si="0"/>
        <v>3</v>
      </c>
      <c r="L41" s="4">
        <f t="shared" si="1"/>
        <v>4</v>
      </c>
      <c r="M41" s="4">
        <v>3.6249632083837291</v>
      </c>
      <c r="N41" s="4">
        <v>107.3491177337002</v>
      </c>
      <c r="O41" s="4">
        <v>247.0353452706041</v>
      </c>
      <c r="X41" s="22">
        <f t="shared" si="2"/>
        <v>206.01682093049089</v>
      </c>
      <c r="Y41" s="2">
        <f t="shared" si="3"/>
        <v>1682.5193390404593</v>
      </c>
    </row>
    <row r="42" spans="1:25">
      <c r="A42" s="2" t="s">
        <v>5</v>
      </c>
      <c r="B42" s="2" t="s">
        <v>15</v>
      </c>
      <c r="C42" s="2">
        <v>7.2548369751388826</v>
      </c>
      <c r="D42" s="2">
        <v>29.80271253358606</v>
      </c>
      <c r="E42" s="2">
        <v>145.4184653751436</v>
      </c>
      <c r="J42" s="4">
        <v>1</v>
      </c>
      <c r="K42" s="4">
        <f t="shared" si="0"/>
        <v>1</v>
      </c>
      <c r="L42" s="4">
        <f t="shared" si="1"/>
        <v>4</v>
      </c>
      <c r="M42" s="4">
        <v>7.2548369751388826</v>
      </c>
      <c r="N42" s="4">
        <v>29.80271253358606</v>
      </c>
      <c r="O42" s="4">
        <v>145.4184653751436</v>
      </c>
      <c r="X42" s="22">
        <f t="shared" si="2"/>
        <v>136.88786197201222</v>
      </c>
      <c r="Y42" s="2">
        <f t="shared" si="3"/>
        <v>72.771194421516682</v>
      </c>
    </row>
    <row r="43" spans="1:25">
      <c r="A43" s="2" t="s">
        <v>10</v>
      </c>
      <c r="B43" s="2" t="s">
        <v>12</v>
      </c>
      <c r="C43" s="2">
        <v>8.7411015747028422</v>
      </c>
      <c r="D43" s="2">
        <v>83.057152252514385</v>
      </c>
      <c r="E43" s="2">
        <v>255.73889066499291</v>
      </c>
      <c r="J43" s="4">
        <v>1</v>
      </c>
      <c r="K43" s="4">
        <f t="shared" si="0"/>
        <v>6</v>
      </c>
      <c r="L43" s="4">
        <f t="shared" si="1"/>
        <v>1</v>
      </c>
      <c r="M43" s="4">
        <v>8.7411015747028422</v>
      </c>
      <c r="N43" s="4">
        <v>83.057152252514385</v>
      </c>
      <c r="O43" s="4">
        <v>255.73889066499291</v>
      </c>
      <c r="X43" s="22">
        <f t="shared" si="2"/>
        <v>231.21605627787164</v>
      </c>
      <c r="Y43" s="2">
        <f t="shared" si="3"/>
        <v>601.36940637817713</v>
      </c>
    </row>
    <row r="44" spans="1:25">
      <c r="A44" s="2" t="s">
        <v>10</v>
      </c>
      <c r="B44" s="2" t="s">
        <v>16</v>
      </c>
      <c r="C44" s="2">
        <v>8.0186589000401476</v>
      </c>
      <c r="D44" s="2">
        <v>102.6567430380402</v>
      </c>
      <c r="E44" s="2">
        <v>225.44358498802481</v>
      </c>
      <c r="J44" s="4">
        <v>1</v>
      </c>
      <c r="K44" s="4">
        <f t="shared" si="0"/>
        <v>6</v>
      </c>
      <c r="L44" s="4">
        <f t="shared" si="1"/>
        <v>5</v>
      </c>
      <c r="M44" s="4">
        <v>8.0186589000401476</v>
      </c>
      <c r="N44" s="4">
        <v>102.6567430380402</v>
      </c>
      <c r="O44" s="4">
        <v>225.44358498802481</v>
      </c>
      <c r="X44" s="22">
        <f t="shared" si="2"/>
        <v>250.88978717868147</v>
      </c>
      <c r="Y44" s="2">
        <f t="shared" si="3"/>
        <v>647.50920592777993</v>
      </c>
    </row>
    <row r="45" spans="1:25">
      <c r="A45" s="2" t="s">
        <v>5</v>
      </c>
      <c r="B45" s="2" t="s">
        <v>12</v>
      </c>
      <c r="C45" s="2">
        <v>1.3565694281352141</v>
      </c>
      <c r="D45" s="2">
        <v>133.92260931363981</v>
      </c>
      <c r="E45" s="2">
        <v>219.25770478868159</v>
      </c>
      <c r="J45" s="4">
        <v>1</v>
      </c>
      <c r="K45" s="4">
        <f t="shared" si="0"/>
        <v>1</v>
      </c>
      <c r="L45" s="4">
        <f t="shared" si="1"/>
        <v>1</v>
      </c>
      <c r="M45" s="4">
        <v>1.3565694281352141</v>
      </c>
      <c r="N45" s="4">
        <v>133.92260931363981</v>
      </c>
      <c r="O45" s="4">
        <v>219.25770478868159</v>
      </c>
      <c r="X45" s="22">
        <f t="shared" si="2"/>
        <v>219.40452529269402</v>
      </c>
      <c r="Y45" s="2">
        <f t="shared" si="3"/>
        <v>2.1556260398462399E-2</v>
      </c>
    </row>
    <row r="46" spans="1:25">
      <c r="A46" s="2" t="s">
        <v>10</v>
      </c>
      <c r="B46" s="2" t="s">
        <v>15</v>
      </c>
      <c r="C46" s="2">
        <v>5.3245625253204603</v>
      </c>
      <c r="D46" s="2">
        <v>190.6008999913787</v>
      </c>
      <c r="E46" s="2">
        <v>408.78491185442527</v>
      </c>
      <c r="J46" s="4">
        <v>1</v>
      </c>
      <c r="K46" s="4">
        <f t="shared" si="0"/>
        <v>6</v>
      </c>
      <c r="L46" s="4">
        <f t="shared" si="1"/>
        <v>4</v>
      </c>
      <c r="M46" s="4">
        <v>5.3245625253204603</v>
      </c>
      <c r="N46" s="4">
        <v>190.6008999913787</v>
      </c>
      <c r="O46" s="4">
        <v>408.78491185442527</v>
      </c>
      <c r="X46" s="22">
        <f t="shared" si="2"/>
        <v>348.54635228268017</v>
      </c>
      <c r="Y46" s="2">
        <f t="shared" si="3"/>
        <v>3628.684059278683</v>
      </c>
    </row>
    <row r="47" spans="1:25">
      <c r="A47" s="2" t="s">
        <v>8</v>
      </c>
      <c r="B47" s="2" t="s">
        <v>17</v>
      </c>
      <c r="C47" s="2">
        <v>1.944371605763574</v>
      </c>
      <c r="D47" s="2">
        <v>124.1237026441876</v>
      </c>
      <c r="E47" s="2">
        <v>227.08771945623329</v>
      </c>
      <c r="J47" s="4">
        <v>1</v>
      </c>
      <c r="K47" s="4">
        <f t="shared" si="0"/>
        <v>4</v>
      </c>
      <c r="L47" s="4">
        <f t="shared" si="1"/>
        <v>6</v>
      </c>
      <c r="M47" s="4">
        <v>1.944371605763574</v>
      </c>
      <c r="N47" s="4">
        <v>124.1237026441876</v>
      </c>
      <c r="O47" s="4">
        <v>227.08771945623329</v>
      </c>
      <c r="X47" s="22">
        <f t="shared" si="2"/>
        <v>209.26532054689901</v>
      </c>
      <c r="Y47" s="2">
        <f t="shared" si="3"/>
        <v>317.63790288343984</v>
      </c>
    </row>
    <row r="48" spans="1:25">
      <c r="A48" s="2" t="s">
        <v>6</v>
      </c>
      <c r="B48" s="2" t="s">
        <v>15</v>
      </c>
      <c r="C48" s="2">
        <v>3.1784051427627471</v>
      </c>
      <c r="D48" s="2">
        <v>151.28284407354641</v>
      </c>
      <c r="E48" s="2">
        <v>302.9432248655707</v>
      </c>
      <c r="J48" s="4">
        <v>1</v>
      </c>
      <c r="K48" s="4">
        <f t="shared" si="0"/>
        <v>3</v>
      </c>
      <c r="L48" s="4">
        <f t="shared" si="1"/>
        <v>4</v>
      </c>
      <c r="M48" s="4">
        <v>3.1784051427627471</v>
      </c>
      <c r="N48" s="4">
        <v>151.28284407354641</v>
      </c>
      <c r="O48" s="4">
        <v>302.9432248655707</v>
      </c>
      <c r="X48" s="22">
        <f t="shared" si="2"/>
        <v>265.80736108912606</v>
      </c>
      <c r="Y48" s="2">
        <f t="shared" si="3"/>
        <v>1379.0723784226529</v>
      </c>
    </row>
    <row r="49" spans="1:25">
      <c r="A49" s="2" t="s">
        <v>5</v>
      </c>
      <c r="B49" s="2" t="s">
        <v>17</v>
      </c>
      <c r="C49" s="2">
        <v>9.879963339404318</v>
      </c>
      <c r="D49" s="2">
        <v>106.1905513040885</v>
      </c>
      <c r="E49" s="2">
        <v>256.86157532010878</v>
      </c>
      <c r="J49" s="4">
        <v>1</v>
      </c>
      <c r="K49" s="4">
        <f t="shared" si="0"/>
        <v>1</v>
      </c>
      <c r="L49" s="4">
        <f t="shared" si="1"/>
        <v>6</v>
      </c>
      <c r="M49" s="4">
        <v>9.879963339404318</v>
      </c>
      <c r="N49" s="4">
        <v>106.1905513040885</v>
      </c>
      <c r="O49" s="4">
        <v>256.86157532010878</v>
      </c>
      <c r="X49" s="22">
        <f t="shared" si="2"/>
        <v>282.45526655728827</v>
      </c>
      <c r="Y49" s="2">
        <f t="shared" si="3"/>
        <v>655.0370311440779</v>
      </c>
    </row>
    <row r="50" spans="1:25">
      <c r="A50" s="2" t="s">
        <v>6</v>
      </c>
      <c r="B50" s="2" t="s">
        <v>14</v>
      </c>
      <c r="C50" s="2">
        <v>2.2824598861136192</v>
      </c>
      <c r="D50" s="2">
        <v>130.47976596150289</v>
      </c>
      <c r="E50" s="2">
        <v>187.3697160403687</v>
      </c>
      <c r="J50" s="4">
        <v>1</v>
      </c>
      <c r="K50" s="4">
        <f t="shared" si="0"/>
        <v>3</v>
      </c>
      <c r="L50" s="4">
        <f t="shared" si="1"/>
        <v>3</v>
      </c>
      <c r="M50" s="4">
        <v>2.2824598861136192</v>
      </c>
      <c r="N50" s="4">
        <v>130.47976596150289</v>
      </c>
      <c r="O50" s="4">
        <v>187.3697160403687</v>
      </c>
      <c r="X50" s="22">
        <f t="shared" si="2"/>
        <v>223.99837910379148</v>
      </c>
      <c r="Y50" s="2">
        <f t="shared" si="3"/>
        <v>1341.6589578137521</v>
      </c>
    </row>
    <row r="51" spans="1:25">
      <c r="A51" s="2" t="s">
        <v>11</v>
      </c>
      <c r="B51" s="2" t="s">
        <v>15</v>
      </c>
      <c r="C51" s="2">
        <v>5.4899933810622041</v>
      </c>
      <c r="D51" s="2">
        <v>23.477121065416949</v>
      </c>
      <c r="E51" s="2">
        <v>85.944785624598865</v>
      </c>
      <c r="J51" s="4">
        <v>1</v>
      </c>
      <c r="K51" s="4">
        <f t="shared" si="0"/>
        <v>7</v>
      </c>
      <c r="L51" s="4">
        <f t="shared" si="1"/>
        <v>4</v>
      </c>
      <c r="M51" s="4">
        <v>5.4899933810622041</v>
      </c>
      <c r="N51" s="4">
        <v>23.477121065416949</v>
      </c>
      <c r="O51" s="4">
        <v>85.944785624598865</v>
      </c>
      <c r="X51" s="22">
        <f t="shared" si="2"/>
        <v>101.51567992236056</v>
      </c>
      <c r="Y51" s="2">
        <f t="shared" si="3"/>
        <v>242.45274923206773</v>
      </c>
    </row>
    <row r="52" spans="1:25">
      <c r="A52" s="2" t="s">
        <v>8</v>
      </c>
      <c r="B52" s="2" t="s">
        <v>14</v>
      </c>
      <c r="C52" s="2">
        <v>6.5634016088630718</v>
      </c>
      <c r="D52" s="2">
        <v>58.334400359950934</v>
      </c>
      <c r="E52" s="2">
        <v>153.97188047049909</v>
      </c>
      <c r="J52" s="4">
        <v>1</v>
      </c>
      <c r="K52" s="4">
        <f t="shared" si="0"/>
        <v>4</v>
      </c>
      <c r="L52" s="4">
        <f t="shared" si="1"/>
        <v>3</v>
      </c>
      <c r="M52" s="4">
        <v>6.5634016088630718</v>
      </c>
      <c r="N52" s="4">
        <v>58.334400359950934</v>
      </c>
      <c r="O52" s="4">
        <v>153.97188047049909</v>
      </c>
      <c r="X52" s="22">
        <f t="shared" si="2"/>
        <v>168.79372558016078</v>
      </c>
      <c r="Y52" s="2">
        <f t="shared" si="3"/>
        <v>219.6870924548023</v>
      </c>
    </row>
    <row r="53" spans="1:25">
      <c r="A53" s="2" t="s">
        <v>7</v>
      </c>
      <c r="B53" s="2" t="s">
        <v>16</v>
      </c>
      <c r="C53" s="2">
        <v>7.3221847348969353</v>
      </c>
      <c r="D53" s="2">
        <v>78.752087708976347</v>
      </c>
      <c r="E53" s="2">
        <v>218.8395594549699</v>
      </c>
      <c r="J53" s="4">
        <v>1</v>
      </c>
      <c r="K53" s="4">
        <f t="shared" si="0"/>
        <v>2</v>
      </c>
      <c r="L53" s="4">
        <f t="shared" si="1"/>
        <v>5</v>
      </c>
      <c r="M53" s="4">
        <v>7.3221847348969353</v>
      </c>
      <c r="N53" s="4">
        <v>78.752087708976347</v>
      </c>
      <c r="O53" s="4">
        <v>218.8395594549699</v>
      </c>
      <c r="X53" s="22">
        <f t="shared" si="2"/>
        <v>209.61477635943407</v>
      </c>
      <c r="Y53" s="2">
        <f t="shared" si="3"/>
        <v>85.096623159683546</v>
      </c>
    </row>
    <row r="54" spans="1:25">
      <c r="A54" s="2" t="s">
        <v>8</v>
      </c>
      <c r="B54" s="2" t="s">
        <v>12</v>
      </c>
      <c r="C54" s="2">
        <v>6.0368381513822271</v>
      </c>
      <c r="D54" s="2">
        <v>99.773737451237579</v>
      </c>
      <c r="E54" s="2">
        <v>229.3702672576533</v>
      </c>
      <c r="J54" s="4">
        <v>1</v>
      </c>
      <c r="K54" s="4">
        <f t="shared" si="0"/>
        <v>4</v>
      </c>
      <c r="L54" s="4">
        <f t="shared" si="1"/>
        <v>1</v>
      </c>
      <c r="M54" s="4">
        <v>6.0368381513822271</v>
      </c>
      <c r="N54" s="4">
        <v>99.773737451237579</v>
      </c>
      <c r="O54" s="4">
        <v>229.3702672576533</v>
      </c>
      <c r="X54" s="22">
        <f t="shared" si="2"/>
        <v>224.17053756387003</v>
      </c>
      <c r="Y54" s="2">
        <f t="shared" si="3"/>
        <v>27.037188888411446</v>
      </c>
    </row>
    <row r="55" spans="1:25">
      <c r="A55" s="2" t="s">
        <v>5</v>
      </c>
      <c r="B55" s="2" t="s">
        <v>17</v>
      </c>
      <c r="C55" s="2">
        <v>1.087937626772653</v>
      </c>
      <c r="D55" s="2">
        <v>18.673261645452911</v>
      </c>
      <c r="E55" s="2">
        <v>21.610302049011771</v>
      </c>
      <c r="J55" s="4">
        <v>1</v>
      </c>
      <c r="K55" s="4">
        <f t="shared" si="0"/>
        <v>1</v>
      </c>
      <c r="L55" s="4">
        <f t="shared" si="1"/>
        <v>6</v>
      </c>
      <c r="M55" s="4">
        <v>1.087937626772653</v>
      </c>
      <c r="N55" s="4">
        <v>18.673261645452911</v>
      </c>
      <c r="O55" s="4">
        <v>21.610302049011771</v>
      </c>
      <c r="X55" s="22">
        <f t="shared" si="2"/>
        <v>44.129473568363018</v>
      </c>
      <c r="Y55" s="2">
        <f t="shared" si="3"/>
        <v>507.11308591796035</v>
      </c>
    </row>
    <row r="56" spans="1:25">
      <c r="A56" s="2" t="s">
        <v>7</v>
      </c>
      <c r="B56" s="2" t="s">
        <v>12</v>
      </c>
      <c r="C56" s="2">
        <v>3.9381517741959269</v>
      </c>
      <c r="D56" s="2">
        <v>36.604578535130358</v>
      </c>
      <c r="E56" s="2">
        <v>132.86417053173369</v>
      </c>
      <c r="J56" s="4">
        <v>1</v>
      </c>
      <c r="K56" s="4">
        <f t="shared" si="0"/>
        <v>2</v>
      </c>
      <c r="L56" s="4">
        <f t="shared" si="1"/>
        <v>1</v>
      </c>
      <c r="M56" s="4">
        <v>3.9381517741959269</v>
      </c>
      <c r="N56" s="4">
        <v>36.604578535130358</v>
      </c>
      <c r="O56" s="4">
        <v>132.86417053173369</v>
      </c>
      <c r="X56" s="22">
        <f t="shared" si="2"/>
        <v>105.86466879644034</v>
      </c>
      <c r="Y56" s="2">
        <f t="shared" si="3"/>
        <v>728.97309395410866</v>
      </c>
    </row>
    <row r="57" spans="1:25">
      <c r="A57" s="2" t="s">
        <v>11</v>
      </c>
      <c r="B57" s="2" t="s">
        <v>14</v>
      </c>
      <c r="C57" s="2">
        <v>5.6594047904624034</v>
      </c>
      <c r="D57" s="2">
        <v>62.594718480348099</v>
      </c>
      <c r="E57" s="2">
        <v>165.71586429606569</v>
      </c>
      <c r="J57" s="4">
        <v>1</v>
      </c>
      <c r="K57" s="4">
        <f t="shared" si="0"/>
        <v>7</v>
      </c>
      <c r="L57" s="4">
        <f t="shared" si="1"/>
        <v>3</v>
      </c>
      <c r="M57" s="4">
        <v>5.6594047904624034</v>
      </c>
      <c r="N57" s="4">
        <v>62.594718480348099</v>
      </c>
      <c r="O57" s="4">
        <v>165.71586429606569</v>
      </c>
      <c r="X57" s="22">
        <f t="shared" si="2"/>
        <v>161.87338496132605</v>
      </c>
      <c r="Y57" s="2">
        <f t="shared" si="3"/>
        <v>14.764647437901155</v>
      </c>
    </row>
    <row r="58" spans="1:25">
      <c r="A58" s="2" t="s">
        <v>5</v>
      </c>
      <c r="B58" s="2" t="s">
        <v>17</v>
      </c>
      <c r="C58" s="2">
        <v>1.7907984923035001</v>
      </c>
      <c r="D58" s="2">
        <v>194.5912112711996</v>
      </c>
      <c r="E58" s="2">
        <v>308.61088193852311</v>
      </c>
      <c r="J58" s="4">
        <v>1</v>
      </c>
      <c r="K58" s="4">
        <f t="shared" si="0"/>
        <v>1</v>
      </c>
      <c r="L58" s="4">
        <f t="shared" si="1"/>
        <v>6</v>
      </c>
      <c r="M58" s="4">
        <v>1.7907984923035001</v>
      </c>
      <c r="N58" s="4">
        <v>194.5912112711996</v>
      </c>
      <c r="O58" s="4">
        <v>308.61088193852311</v>
      </c>
      <c r="X58" s="22">
        <f t="shared" si="2"/>
        <v>314.2149259791334</v>
      </c>
      <c r="Y58" s="2">
        <f t="shared" si="3"/>
        <v>31.40530960909971</v>
      </c>
    </row>
    <row r="59" spans="1:25">
      <c r="A59" s="2" t="s">
        <v>9</v>
      </c>
      <c r="B59" s="2" t="s">
        <v>12</v>
      </c>
      <c r="C59" s="2">
        <v>4.1556423808826271</v>
      </c>
      <c r="D59" s="2">
        <v>72.955931349579643</v>
      </c>
      <c r="E59" s="2">
        <v>176.40331256098071</v>
      </c>
      <c r="J59" s="4">
        <v>1</v>
      </c>
      <c r="K59" s="4">
        <f t="shared" si="0"/>
        <v>5</v>
      </c>
      <c r="L59" s="4">
        <f t="shared" si="1"/>
        <v>1</v>
      </c>
      <c r="M59" s="4">
        <v>4.1556423808826271</v>
      </c>
      <c r="N59" s="4">
        <v>72.955931349579643</v>
      </c>
      <c r="O59" s="4">
        <v>176.40331256098071</v>
      </c>
      <c r="X59" s="22">
        <f t="shared" si="2"/>
        <v>160.44481536414099</v>
      </c>
      <c r="Y59" s="2">
        <f t="shared" si="3"/>
        <v>254.67363278154107</v>
      </c>
    </row>
    <row r="60" spans="1:25">
      <c r="A60" s="2" t="s">
        <v>6</v>
      </c>
      <c r="B60" s="2" t="s">
        <v>15</v>
      </c>
      <c r="C60" s="2">
        <v>1.298827979122299</v>
      </c>
      <c r="D60" s="2">
        <v>101.58780104129571</v>
      </c>
      <c r="E60" s="2">
        <v>197.44182977189951</v>
      </c>
      <c r="J60" s="4">
        <v>1</v>
      </c>
      <c r="K60" s="4">
        <f t="shared" si="0"/>
        <v>3</v>
      </c>
      <c r="L60" s="4">
        <f t="shared" si="1"/>
        <v>4</v>
      </c>
      <c r="M60" s="4">
        <v>1.298827979122299</v>
      </c>
      <c r="N60" s="4">
        <v>101.58780104129571</v>
      </c>
      <c r="O60" s="4">
        <v>197.44182977189951</v>
      </c>
      <c r="X60" s="22">
        <f t="shared" si="2"/>
        <v>168.8104044701355</v>
      </c>
      <c r="Y60" s="2">
        <f t="shared" si="3"/>
        <v>819.75851481049244</v>
      </c>
    </row>
    <row r="61" spans="1:25">
      <c r="A61" s="2" t="s">
        <v>11</v>
      </c>
      <c r="B61" s="2" t="s">
        <v>13</v>
      </c>
      <c r="C61" s="2">
        <v>1.7072064743951869</v>
      </c>
      <c r="D61" s="2">
        <v>47.258565420294659</v>
      </c>
      <c r="E61" s="2">
        <v>98.351231938491551</v>
      </c>
      <c r="J61" s="4">
        <v>1</v>
      </c>
      <c r="K61" s="4">
        <f t="shared" si="0"/>
        <v>7</v>
      </c>
      <c r="L61" s="4">
        <f t="shared" si="1"/>
        <v>2</v>
      </c>
      <c r="M61" s="4">
        <v>1.7072064743951869</v>
      </c>
      <c r="N61" s="4">
        <v>47.258565420294659</v>
      </c>
      <c r="O61" s="4">
        <v>98.351231938491551</v>
      </c>
      <c r="X61" s="22">
        <f t="shared" si="2"/>
        <v>90.553346311154414</v>
      </c>
      <c r="Y61" s="2">
        <f t="shared" si="3"/>
        <v>60.807020257031105</v>
      </c>
    </row>
    <row r="62" spans="1:25">
      <c r="A62" s="2" t="s">
        <v>6</v>
      </c>
      <c r="B62" s="2" t="s">
        <v>14</v>
      </c>
      <c r="C62" s="2">
        <v>4.5723094858143636</v>
      </c>
      <c r="D62" s="2">
        <v>126.048213504396</v>
      </c>
      <c r="E62" s="2">
        <v>218.06467355154649</v>
      </c>
      <c r="J62" s="4">
        <v>1</v>
      </c>
      <c r="K62" s="4">
        <f t="shared" si="0"/>
        <v>3</v>
      </c>
      <c r="L62" s="4">
        <f t="shared" si="1"/>
        <v>3</v>
      </c>
      <c r="M62" s="4">
        <v>4.5723094858143636</v>
      </c>
      <c r="N62" s="4">
        <v>126.048213504396</v>
      </c>
      <c r="O62" s="4">
        <v>218.06467355154649</v>
      </c>
      <c r="X62" s="22">
        <f t="shared" si="2"/>
        <v>245.61042442801633</v>
      </c>
      <c r="Y62" s="2">
        <f t="shared" si="3"/>
        <v>758.7683913485389</v>
      </c>
    </row>
    <row r="63" spans="1:25">
      <c r="A63" s="2" t="s">
        <v>10</v>
      </c>
      <c r="B63" s="2" t="s">
        <v>12</v>
      </c>
      <c r="C63" s="2">
        <v>2.1944417863875429</v>
      </c>
      <c r="D63" s="2">
        <v>63.329810948035117</v>
      </c>
      <c r="E63" s="2">
        <v>123.02387219231829</v>
      </c>
      <c r="J63" s="4">
        <v>1</v>
      </c>
      <c r="K63" s="4">
        <f t="shared" si="0"/>
        <v>6</v>
      </c>
      <c r="L63" s="4">
        <f t="shared" si="1"/>
        <v>1</v>
      </c>
      <c r="M63" s="4">
        <v>2.1944417863875429</v>
      </c>
      <c r="N63" s="4">
        <v>63.329810948035117</v>
      </c>
      <c r="O63" s="4">
        <v>123.02387219231829</v>
      </c>
      <c r="X63" s="22">
        <f t="shared" si="2"/>
        <v>121.28232203039829</v>
      </c>
      <c r="Y63" s="2">
        <f t="shared" si="3"/>
        <v>3.0329969664835881</v>
      </c>
    </row>
    <row r="64" spans="1:25">
      <c r="A64" s="2" t="s">
        <v>9</v>
      </c>
      <c r="B64" s="2" t="s">
        <v>14</v>
      </c>
      <c r="C64" s="2">
        <v>6.1078676343540232</v>
      </c>
      <c r="D64" s="2">
        <v>49.328589903301093</v>
      </c>
      <c r="E64" s="2">
        <v>158.71169966899151</v>
      </c>
      <c r="J64" s="4">
        <v>1</v>
      </c>
      <c r="K64" s="4">
        <f t="shared" si="0"/>
        <v>5</v>
      </c>
      <c r="L64" s="4">
        <f t="shared" si="1"/>
        <v>3</v>
      </c>
      <c r="M64" s="4">
        <v>6.1078676343540232</v>
      </c>
      <c r="N64" s="4">
        <v>49.328589903301093</v>
      </c>
      <c r="O64" s="4">
        <v>158.71169966899151</v>
      </c>
      <c r="X64" s="22">
        <f t="shared" si="2"/>
        <v>149.09419852378988</v>
      </c>
      <c r="Y64" s="2">
        <f t="shared" si="3"/>
        <v>92.496328277954646</v>
      </c>
    </row>
    <row r="65" spans="1:25">
      <c r="A65" s="2" t="s">
        <v>9</v>
      </c>
      <c r="B65" s="2" t="s">
        <v>14</v>
      </c>
      <c r="C65" s="2">
        <v>7.2051847222353924</v>
      </c>
      <c r="D65" s="2">
        <v>108.148799404736</v>
      </c>
      <c r="E65" s="2">
        <v>281.67854634067032</v>
      </c>
      <c r="J65" s="4">
        <v>1</v>
      </c>
      <c r="K65" s="4">
        <f t="shared" si="0"/>
        <v>5</v>
      </c>
      <c r="L65" s="4">
        <f t="shared" si="1"/>
        <v>3</v>
      </c>
      <c r="M65" s="4">
        <v>7.2051847222353924</v>
      </c>
      <c r="N65" s="4">
        <v>108.148799404736</v>
      </c>
      <c r="O65" s="4">
        <v>281.67854634067032</v>
      </c>
      <c r="X65" s="22">
        <f t="shared" si="2"/>
        <v>250.01905983464428</v>
      </c>
      <c r="Y65" s="2">
        <f t="shared" si="3"/>
        <v>1002.323085825245</v>
      </c>
    </row>
    <row r="66" spans="1:25">
      <c r="A66" s="2" t="s">
        <v>11</v>
      </c>
      <c r="B66" s="2" t="s">
        <v>17</v>
      </c>
      <c r="C66" s="2">
        <v>8.2052802919817456</v>
      </c>
      <c r="D66" s="2">
        <v>11.04610184047996</v>
      </c>
      <c r="E66" s="2">
        <v>105.76283130322329</v>
      </c>
      <c r="J66" s="4">
        <v>1</v>
      </c>
      <c r="K66" s="4">
        <f t="shared" si="0"/>
        <v>7</v>
      </c>
      <c r="L66" s="4">
        <f t="shared" si="1"/>
        <v>6</v>
      </c>
      <c r="M66" s="4">
        <v>8.2052802919817456</v>
      </c>
      <c r="N66" s="4">
        <v>11.04610184047996</v>
      </c>
      <c r="O66" s="4">
        <v>105.76283130322329</v>
      </c>
      <c r="X66" s="22">
        <f t="shared" si="2"/>
        <v>116.20034670034485</v>
      </c>
      <c r="Y66" s="2">
        <f t="shared" si="3"/>
        <v>108.9417276651496</v>
      </c>
    </row>
    <row r="67" spans="1:25">
      <c r="A67" s="2" t="s">
        <v>9</v>
      </c>
      <c r="B67" s="2" t="s">
        <v>17</v>
      </c>
      <c r="C67" s="2">
        <v>2.8013521982032912</v>
      </c>
      <c r="D67" s="2">
        <v>11.45616620335281</v>
      </c>
      <c r="E67" s="2">
        <v>24.19476185191651</v>
      </c>
      <c r="J67" s="4">
        <v>1</v>
      </c>
      <c r="K67" s="4">
        <f t="shared" si="0"/>
        <v>5</v>
      </c>
      <c r="L67" s="4">
        <f t="shared" si="1"/>
        <v>6</v>
      </c>
      <c r="M67" s="4">
        <v>2.8013521982032912</v>
      </c>
      <c r="N67" s="4">
        <v>11.45616620335281</v>
      </c>
      <c r="O67" s="4">
        <v>24.19476185191651</v>
      </c>
      <c r="X67" s="22">
        <f t="shared" si="2"/>
        <v>51.677539508722163</v>
      </c>
      <c r="Y67" s="2">
        <f t="shared" si="3"/>
        <v>755.30306773341601</v>
      </c>
    </row>
    <row r="68" spans="1:25">
      <c r="A68" s="2" t="s">
        <v>7</v>
      </c>
      <c r="B68" s="2" t="s">
        <v>13</v>
      </c>
      <c r="C68" s="2">
        <v>2.507343240331628</v>
      </c>
      <c r="D68" s="2">
        <v>51.623073729352967</v>
      </c>
      <c r="E68" s="2">
        <v>106.00713670188949</v>
      </c>
      <c r="J68" s="4">
        <v>1</v>
      </c>
      <c r="K68" s="4">
        <f t="shared" ref="K68:K131" si="4">VLOOKUP(A68, $F$3:$G$9, 2, FALSE)</f>
        <v>2</v>
      </c>
      <c r="L68" s="4">
        <f t="shared" ref="L68:L131" si="5">VLOOKUP(B68, $H$3:$I$8, 2, FALSE)</f>
        <v>2</v>
      </c>
      <c r="M68" s="4">
        <v>2.507343240331628</v>
      </c>
      <c r="N68" s="4">
        <v>51.623073729352967</v>
      </c>
      <c r="O68" s="4">
        <v>106.00713670188949</v>
      </c>
      <c r="X68" s="22">
        <f t="shared" ref="X68:X131" si="6">$U$16+$U$17*K68+$U$18*L68+$U$19*M68+$U$20*N68</f>
        <v>110.42504146259962</v>
      </c>
      <c r="Y68" s="2">
        <f t="shared" ref="Y68:Y131" si="7">POWER(O68-X68,2)</f>
        <v>19.517882474705228</v>
      </c>
    </row>
    <row r="69" spans="1:25">
      <c r="A69" s="2" t="s">
        <v>9</v>
      </c>
      <c r="B69" s="2" t="s">
        <v>15</v>
      </c>
      <c r="C69" s="2">
        <v>1.9411105630096019</v>
      </c>
      <c r="D69" s="2">
        <v>16.977058875156018</v>
      </c>
      <c r="E69" s="2">
        <v>28.484326563353509</v>
      </c>
      <c r="J69" s="4">
        <v>1</v>
      </c>
      <c r="K69" s="4">
        <f t="shared" si="4"/>
        <v>5</v>
      </c>
      <c r="L69" s="4">
        <f t="shared" si="5"/>
        <v>4</v>
      </c>
      <c r="M69" s="4">
        <v>1.9411105630096019</v>
      </c>
      <c r="N69" s="4">
        <v>16.977058875156018</v>
      </c>
      <c r="O69" s="4">
        <v>28.484326563353509</v>
      </c>
      <c r="X69" s="22">
        <f t="shared" si="6"/>
        <v>49.567247401829974</v>
      </c>
      <c r="Y69" s="2">
        <f t="shared" si="7"/>
        <v>444.48955108146515</v>
      </c>
    </row>
    <row r="70" spans="1:25">
      <c r="A70" s="2" t="s">
        <v>6</v>
      </c>
      <c r="B70" s="2" t="s">
        <v>14</v>
      </c>
      <c r="C70" s="2">
        <v>6.7278722458927298</v>
      </c>
      <c r="D70" s="2">
        <v>30.524893284831361</v>
      </c>
      <c r="E70" s="2">
        <v>105.1046106431523</v>
      </c>
      <c r="J70" s="4">
        <v>1</v>
      </c>
      <c r="K70" s="4">
        <f t="shared" si="4"/>
        <v>3</v>
      </c>
      <c r="L70" s="4">
        <f t="shared" si="5"/>
        <v>3</v>
      </c>
      <c r="M70" s="4">
        <v>6.7278722458927298</v>
      </c>
      <c r="N70" s="4">
        <v>30.524893284831361</v>
      </c>
      <c r="O70" s="4">
        <v>105.1046106431523</v>
      </c>
      <c r="X70" s="22">
        <f t="shared" si="6"/>
        <v>130.19808161926167</v>
      </c>
      <c r="Y70" s="2">
        <f t="shared" si="7"/>
        <v>629.68228562884349</v>
      </c>
    </row>
    <row r="71" spans="1:25">
      <c r="A71" s="2" t="s">
        <v>6</v>
      </c>
      <c r="B71" s="2" t="s">
        <v>12</v>
      </c>
      <c r="C71" s="2">
        <v>7.3582815383821103</v>
      </c>
      <c r="D71" s="2">
        <v>74.383523374362809</v>
      </c>
      <c r="E71" s="2">
        <v>219.73580310130319</v>
      </c>
      <c r="J71" s="4">
        <v>1</v>
      </c>
      <c r="K71" s="4">
        <f t="shared" si="4"/>
        <v>3</v>
      </c>
      <c r="L71" s="4">
        <f t="shared" si="5"/>
        <v>1</v>
      </c>
      <c r="M71" s="4">
        <v>7.3582815383821103</v>
      </c>
      <c r="N71" s="4">
        <v>74.383523374362809</v>
      </c>
      <c r="O71" s="4">
        <v>219.73580310130319</v>
      </c>
      <c r="X71" s="22">
        <f t="shared" si="6"/>
        <v>203.41741689347879</v>
      </c>
      <c r="Y71" s="2">
        <f t="shared" si="7"/>
        <v>266.28972842771373</v>
      </c>
    </row>
    <row r="72" spans="1:25">
      <c r="A72" s="2" t="s">
        <v>5</v>
      </c>
      <c r="B72" s="2" t="s">
        <v>16</v>
      </c>
      <c r="C72" s="2">
        <v>1.2842753034307779</v>
      </c>
      <c r="D72" s="2">
        <v>162.49127912016439</v>
      </c>
      <c r="E72" s="2">
        <v>246.71873362316191</v>
      </c>
      <c r="J72" s="4">
        <v>1</v>
      </c>
      <c r="K72" s="4">
        <f t="shared" si="4"/>
        <v>1</v>
      </c>
      <c r="L72" s="4">
        <f t="shared" si="5"/>
        <v>5</v>
      </c>
      <c r="M72" s="4">
        <v>1.2842753034307779</v>
      </c>
      <c r="N72" s="4">
        <v>162.49127912016439</v>
      </c>
      <c r="O72" s="4">
        <v>246.71873362316191</v>
      </c>
      <c r="X72" s="22">
        <f t="shared" si="6"/>
        <v>260.41321323178522</v>
      </c>
      <c r="Y72" s="2">
        <f t="shared" si="7"/>
        <v>187.53877175099967</v>
      </c>
    </row>
    <row r="73" spans="1:25">
      <c r="A73" s="2" t="s">
        <v>6</v>
      </c>
      <c r="B73" s="2" t="s">
        <v>14</v>
      </c>
      <c r="C73" s="2">
        <v>9.4259102161932091</v>
      </c>
      <c r="D73" s="2">
        <v>118.6892422401672</v>
      </c>
      <c r="E73" s="2">
        <v>391.36158615121121</v>
      </c>
      <c r="J73" s="4">
        <v>1</v>
      </c>
      <c r="K73" s="4">
        <f t="shared" si="4"/>
        <v>3</v>
      </c>
      <c r="L73" s="4">
        <f t="shared" si="5"/>
        <v>3</v>
      </c>
      <c r="M73" s="4">
        <v>9.4259102161932091</v>
      </c>
      <c r="N73" s="4">
        <v>118.6892422401672</v>
      </c>
      <c r="O73" s="4">
        <v>391.36158615121121</v>
      </c>
      <c r="X73" s="22">
        <f t="shared" si="6"/>
        <v>294.44268318180991</v>
      </c>
      <c r="Y73" s="2">
        <f t="shared" si="7"/>
        <v>9393.2737527922236</v>
      </c>
    </row>
    <row r="74" spans="1:25">
      <c r="A74" s="2" t="s">
        <v>5</v>
      </c>
      <c r="B74" s="2" t="s">
        <v>14</v>
      </c>
      <c r="C74" s="2">
        <v>1.467741552863252</v>
      </c>
      <c r="D74" s="2">
        <v>107.40686793171911</v>
      </c>
      <c r="E74" s="2">
        <v>177.14858258693189</v>
      </c>
      <c r="J74" s="4">
        <v>1</v>
      </c>
      <c r="K74" s="4">
        <f t="shared" si="4"/>
        <v>1</v>
      </c>
      <c r="L74" s="4">
        <f t="shared" si="5"/>
        <v>3</v>
      </c>
      <c r="M74" s="4">
        <v>1.467741552863252</v>
      </c>
      <c r="N74" s="4">
        <v>107.40686793171911</v>
      </c>
      <c r="O74" s="4">
        <v>177.14858258693189</v>
      </c>
      <c r="X74" s="22">
        <f t="shared" si="6"/>
        <v>181.0903243478563</v>
      </c>
      <c r="Y74" s="2">
        <f t="shared" si="7"/>
        <v>15.5373281098154</v>
      </c>
    </row>
    <row r="75" spans="1:25">
      <c r="A75" s="2" t="s">
        <v>6</v>
      </c>
      <c r="B75" s="2" t="s">
        <v>13</v>
      </c>
      <c r="C75" s="2">
        <v>5.8716670177096342</v>
      </c>
      <c r="D75" s="2">
        <v>65.762876409543111</v>
      </c>
      <c r="E75" s="2">
        <v>155.56433362521301</v>
      </c>
      <c r="J75" s="4">
        <v>1</v>
      </c>
      <c r="K75" s="4">
        <f t="shared" si="4"/>
        <v>3</v>
      </c>
      <c r="L75" s="4">
        <f t="shared" si="5"/>
        <v>2</v>
      </c>
      <c r="M75" s="4">
        <v>5.8716670177096342</v>
      </c>
      <c r="N75" s="4">
        <v>65.762876409543111</v>
      </c>
      <c r="O75" s="4">
        <v>155.56433362521301</v>
      </c>
      <c r="X75" s="22">
        <f t="shared" si="6"/>
        <v>172.16064124539349</v>
      </c>
      <c r="Y75" s="2">
        <f t="shared" si="7"/>
        <v>275.43742662366077</v>
      </c>
    </row>
    <row r="76" spans="1:25">
      <c r="A76" s="2" t="s">
        <v>7</v>
      </c>
      <c r="B76" s="2" t="s">
        <v>15</v>
      </c>
      <c r="C76" s="2">
        <v>7.3815446750582474</v>
      </c>
      <c r="D76" s="2">
        <v>187.0332066922351</v>
      </c>
      <c r="E76" s="2">
        <v>378.51513144545629</v>
      </c>
      <c r="J76" s="4">
        <v>1</v>
      </c>
      <c r="K76" s="4">
        <f t="shared" si="4"/>
        <v>2</v>
      </c>
      <c r="L76" s="4">
        <f t="shared" si="5"/>
        <v>4</v>
      </c>
      <c r="M76" s="4">
        <v>7.3815446750582474</v>
      </c>
      <c r="N76" s="4">
        <v>187.0332066922351</v>
      </c>
      <c r="O76" s="4">
        <v>378.51513144545629</v>
      </c>
      <c r="X76" s="22">
        <f t="shared" si="6"/>
        <v>371.40063922879227</v>
      </c>
      <c r="Y76" s="2">
        <f t="shared" si="7"/>
        <v>50.615999500972897</v>
      </c>
    </row>
    <row r="77" spans="1:25">
      <c r="A77" s="2" t="s">
        <v>5</v>
      </c>
      <c r="B77" s="2" t="s">
        <v>16</v>
      </c>
      <c r="C77" s="2">
        <v>8.8387221137147698</v>
      </c>
      <c r="D77" s="2">
        <v>85.432857835066415</v>
      </c>
      <c r="E77" s="2">
        <v>169.5041683974481</v>
      </c>
      <c r="J77" s="4">
        <v>1</v>
      </c>
      <c r="K77" s="4">
        <f t="shared" si="4"/>
        <v>1</v>
      </c>
      <c r="L77" s="4">
        <f t="shared" si="5"/>
        <v>5</v>
      </c>
      <c r="M77" s="4">
        <v>8.8387221137147698</v>
      </c>
      <c r="N77" s="4">
        <v>85.432857835066415</v>
      </c>
      <c r="O77" s="4">
        <v>169.5041683974481</v>
      </c>
      <c r="X77" s="22">
        <f t="shared" si="6"/>
        <v>238.92452200330996</v>
      </c>
      <c r="Y77" s="2">
        <f t="shared" si="7"/>
        <v>4819.1854947628981</v>
      </c>
    </row>
    <row r="78" spans="1:25">
      <c r="A78" s="2" t="s">
        <v>8</v>
      </c>
      <c r="B78" s="2" t="s">
        <v>17</v>
      </c>
      <c r="C78" s="2">
        <v>7.4267823891918514</v>
      </c>
      <c r="D78" s="2">
        <v>26.547625691196579</v>
      </c>
      <c r="E78" s="2">
        <v>125.46485871678099</v>
      </c>
      <c r="J78" s="4">
        <v>1</v>
      </c>
      <c r="K78" s="4">
        <f t="shared" si="4"/>
        <v>4</v>
      </c>
      <c r="L78" s="4">
        <f t="shared" si="5"/>
        <v>6</v>
      </c>
      <c r="M78" s="4">
        <v>7.4267823891918514</v>
      </c>
      <c r="N78" s="4">
        <v>26.547625691196579</v>
      </c>
      <c r="O78" s="4">
        <v>125.46485871678099</v>
      </c>
      <c r="X78" s="22">
        <f t="shared" si="6"/>
        <v>131.76997194447711</v>
      </c>
      <c r="Y78" s="2">
        <f t="shared" si="7"/>
        <v>39.754452814068472</v>
      </c>
    </row>
    <row r="79" spans="1:25">
      <c r="A79" s="2" t="s">
        <v>10</v>
      </c>
      <c r="B79" s="2" t="s">
        <v>17</v>
      </c>
      <c r="C79" s="2">
        <v>8.2155527476281272</v>
      </c>
      <c r="D79" s="2">
        <v>127.2426380623822</v>
      </c>
      <c r="E79" s="2">
        <v>275.06651310760452</v>
      </c>
      <c r="J79" s="4">
        <v>1</v>
      </c>
      <c r="K79" s="4">
        <f t="shared" si="4"/>
        <v>6</v>
      </c>
      <c r="L79" s="4">
        <f t="shared" si="5"/>
        <v>6</v>
      </c>
      <c r="M79" s="4">
        <v>8.2155527476281272</v>
      </c>
      <c r="N79" s="4">
        <v>127.2426380623822</v>
      </c>
      <c r="O79" s="4">
        <v>275.06651310760452</v>
      </c>
      <c r="X79" s="22">
        <f t="shared" si="6"/>
        <v>289.71210168961528</v>
      </c>
      <c r="Y79" s="2">
        <f t="shared" si="7"/>
        <v>214.49326491352394</v>
      </c>
    </row>
    <row r="80" spans="1:25">
      <c r="A80" s="2" t="s">
        <v>11</v>
      </c>
      <c r="B80" s="2" t="s">
        <v>12</v>
      </c>
      <c r="C80" s="2">
        <v>4.0550517328852536</v>
      </c>
      <c r="D80" s="2">
        <v>31.62929476055427</v>
      </c>
      <c r="E80" s="2">
        <v>119.9481480663143</v>
      </c>
      <c r="J80" s="4">
        <v>1</v>
      </c>
      <c r="K80" s="4">
        <f t="shared" si="4"/>
        <v>7</v>
      </c>
      <c r="L80" s="4">
        <f t="shared" si="5"/>
        <v>1</v>
      </c>
      <c r="M80" s="4">
        <v>4.0550517328852536</v>
      </c>
      <c r="N80" s="4">
        <v>31.62929476055427</v>
      </c>
      <c r="O80" s="4">
        <v>119.9481480663143</v>
      </c>
      <c r="X80" s="22">
        <f t="shared" si="6"/>
        <v>96.377908415328889</v>
      </c>
      <c r="Y80" s="2">
        <f t="shared" si="7"/>
        <v>555.55619720488505</v>
      </c>
    </row>
    <row r="81" spans="1:25">
      <c r="A81" s="2" t="s">
        <v>6</v>
      </c>
      <c r="B81" s="2" t="s">
        <v>16</v>
      </c>
      <c r="C81" s="2">
        <v>8.3334260237186104</v>
      </c>
      <c r="D81" s="2">
        <v>75.592397132321494</v>
      </c>
      <c r="E81" s="2">
        <v>259.83799753161622</v>
      </c>
      <c r="J81" s="4">
        <v>1</v>
      </c>
      <c r="K81" s="4">
        <f t="shared" si="4"/>
        <v>3</v>
      </c>
      <c r="L81" s="4">
        <f t="shared" si="5"/>
        <v>5</v>
      </c>
      <c r="M81" s="4">
        <v>8.3334260237186104</v>
      </c>
      <c r="N81" s="4">
        <v>75.592397132321494</v>
      </c>
      <c r="O81" s="4">
        <v>259.83799753161622</v>
      </c>
      <c r="X81" s="22">
        <f t="shared" si="6"/>
        <v>216.66533279882958</v>
      </c>
      <c r="Y81" s="2">
        <f t="shared" si="7"/>
        <v>1863.8789801295995</v>
      </c>
    </row>
    <row r="82" spans="1:25">
      <c r="A82" s="2" t="s">
        <v>9</v>
      </c>
      <c r="B82" s="2" t="s">
        <v>17</v>
      </c>
      <c r="C82" s="2">
        <v>1.7210336174620759</v>
      </c>
      <c r="D82" s="2">
        <v>106.4082683563837</v>
      </c>
      <c r="E82" s="2">
        <v>191.05602813629139</v>
      </c>
      <c r="J82" s="4">
        <v>1</v>
      </c>
      <c r="K82" s="4">
        <f t="shared" si="4"/>
        <v>5</v>
      </c>
      <c r="L82" s="4">
        <f t="shared" si="5"/>
        <v>6</v>
      </c>
      <c r="M82" s="4">
        <v>1.7210336174620759</v>
      </c>
      <c r="N82" s="4">
        <v>106.4082683563837</v>
      </c>
      <c r="O82" s="4">
        <v>191.05602813629139</v>
      </c>
      <c r="X82" s="22">
        <f t="shared" si="6"/>
        <v>179.48180638160699</v>
      </c>
      <c r="Y82" s="2">
        <f t="shared" si="7"/>
        <v>133.96260922660966</v>
      </c>
    </row>
    <row r="83" spans="1:25">
      <c r="A83" s="2" t="s">
        <v>6</v>
      </c>
      <c r="B83" s="2" t="s">
        <v>12</v>
      </c>
      <c r="C83" s="2">
        <v>9.0533499045447492</v>
      </c>
      <c r="D83" s="2">
        <v>176.10227969018339</v>
      </c>
      <c r="E83" s="2">
        <v>450.5475561918912</v>
      </c>
      <c r="J83" s="4">
        <v>1</v>
      </c>
      <c r="K83" s="4">
        <f t="shared" si="4"/>
        <v>3</v>
      </c>
      <c r="L83" s="4">
        <f t="shared" si="5"/>
        <v>1</v>
      </c>
      <c r="M83" s="4">
        <v>9.0533499045447492</v>
      </c>
      <c r="N83" s="4">
        <v>176.10227969018339</v>
      </c>
      <c r="O83" s="4">
        <v>450.5475561918912</v>
      </c>
      <c r="X83" s="22">
        <f t="shared" si="6"/>
        <v>375.45431425561947</v>
      </c>
      <c r="Y83" s="2">
        <f t="shared" si="7"/>
        <v>5638.9949844994408</v>
      </c>
    </row>
    <row r="84" spans="1:25">
      <c r="A84" s="2" t="s">
        <v>9</v>
      </c>
      <c r="B84" s="2" t="s">
        <v>15</v>
      </c>
      <c r="C84" s="2">
        <v>5.9283313853836264</v>
      </c>
      <c r="D84" s="2">
        <v>103.7738502646226</v>
      </c>
      <c r="E84" s="2">
        <v>209.60616752844609</v>
      </c>
      <c r="J84" s="4">
        <v>1</v>
      </c>
      <c r="K84" s="4">
        <f t="shared" si="4"/>
        <v>5</v>
      </c>
      <c r="L84" s="4">
        <f t="shared" si="5"/>
        <v>4</v>
      </c>
      <c r="M84" s="4">
        <v>5.9283313853836264</v>
      </c>
      <c r="N84" s="4">
        <v>103.7738502646226</v>
      </c>
      <c r="O84" s="4">
        <v>209.60616752844609</v>
      </c>
      <c r="X84" s="22">
        <f t="shared" si="6"/>
        <v>227.65482978426809</v>
      </c>
      <c r="Y84" s="2">
        <f t="shared" si="7"/>
        <v>325.75420922473353</v>
      </c>
    </row>
    <row r="85" spans="1:25">
      <c r="A85" s="2" t="s">
        <v>10</v>
      </c>
      <c r="B85" s="2" t="s">
        <v>12</v>
      </c>
      <c r="C85" s="2">
        <v>8.3556799296624433</v>
      </c>
      <c r="D85" s="2">
        <v>143.42916554601621</v>
      </c>
      <c r="E85" s="2">
        <v>320.90583237171393</v>
      </c>
      <c r="J85" s="4">
        <v>1</v>
      </c>
      <c r="K85" s="4">
        <f t="shared" si="4"/>
        <v>6</v>
      </c>
      <c r="L85" s="4">
        <f t="shared" si="5"/>
        <v>1</v>
      </c>
      <c r="M85" s="4">
        <v>8.3556799296624433</v>
      </c>
      <c r="N85" s="4">
        <v>143.42916554601621</v>
      </c>
      <c r="O85" s="4">
        <v>320.90583237171393</v>
      </c>
      <c r="X85" s="22">
        <f t="shared" si="6"/>
        <v>316.18825152241033</v>
      </c>
      <c r="Y85" s="2">
        <f t="shared" si="7"/>
        <v>22.255569069716092</v>
      </c>
    </row>
    <row r="86" spans="1:25">
      <c r="A86" s="2" t="s">
        <v>10</v>
      </c>
      <c r="B86" s="2" t="s">
        <v>17</v>
      </c>
      <c r="C86" s="2">
        <v>5.0708645606647016</v>
      </c>
      <c r="D86" s="2">
        <v>198.6351994098234</v>
      </c>
      <c r="E86" s="2">
        <v>347.08547048484382</v>
      </c>
      <c r="J86" s="4">
        <v>1</v>
      </c>
      <c r="K86" s="4">
        <f t="shared" si="4"/>
        <v>6</v>
      </c>
      <c r="L86" s="4">
        <f t="shared" si="5"/>
        <v>6</v>
      </c>
      <c r="M86" s="4">
        <v>5.0708645606647016</v>
      </c>
      <c r="N86" s="4">
        <v>198.6351994098234</v>
      </c>
      <c r="O86" s="4">
        <v>347.08547048484382</v>
      </c>
      <c r="X86" s="22">
        <f t="shared" si="6"/>
        <v>357.08359605720136</v>
      </c>
      <c r="Y86" s="2">
        <f t="shared" si="7"/>
        <v>99.962514960629733</v>
      </c>
    </row>
    <row r="87" spans="1:25">
      <c r="A87" s="2" t="s">
        <v>10</v>
      </c>
      <c r="B87" s="2" t="s">
        <v>13</v>
      </c>
      <c r="C87" s="2">
        <v>6.7921992567687246</v>
      </c>
      <c r="D87" s="2">
        <v>34.982932780616508</v>
      </c>
      <c r="E87" s="2">
        <v>118.7975019548287</v>
      </c>
      <c r="J87" s="4">
        <v>1</v>
      </c>
      <c r="K87" s="4">
        <f t="shared" si="4"/>
        <v>6</v>
      </c>
      <c r="L87" s="4">
        <f t="shared" si="5"/>
        <v>2</v>
      </c>
      <c r="M87" s="4">
        <v>6.7921992567687246</v>
      </c>
      <c r="N87" s="4">
        <v>34.982932780616508</v>
      </c>
      <c r="O87" s="4">
        <v>118.7975019548287</v>
      </c>
      <c r="X87" s="22">
        <f t="shared" si="6"/>
        <v>135.63492217366866</v>
      </c>
      <c r="Y87" s="2">
        <f t="shared" si="7"/>
        <v>283.49871962580045</v>
      </c>
    </row>
    <row r="88" spans="1:25">
      <c r="A88" s="2" t="s">
        <v>9</v>
      </c>
      <c r="B88" s="2" t="s">
        <v>13</v>
      </c>
      <c r="C88" s="2">
        <v>5.7376239484250187</v>
      </c>
      <c r="D88" s="2">
        <v>62.198989848708713</v>
      </c>
      <c r="E88" s="2">
        <v>192.56763919924009</v>
      </c>
      <c r="J88" s="4">
        <v>1</v>
      </c>
      <c r="K88" s="4">
        <f t="shared" si="4"/>
        <v>5</v>
      </c>
      <c r="L88" s="4">
        <f t="shared" si="5"/>
        <v>2</v>
      </c>
      <c r="M88" s="4">
        <v>5.7376239484250187</v>
      </c>
      <c r="N88" s="4">
        <v>62.198989848708713</v>
      </c>
      <c r="O88" s="4">
        <v>192.56763919924009</v>
      </c>
      <c r="X88" s="22">
        <f t="shared" si="6"/>
        <v>163.80071472323573</v>
      </c>
      <c r="Y88" s="2">
        <f t="shared" si="7"/>
        <v>827.53594380813888</v>
      </c>
    </row>
    <row r="89" spans="1:25">
      <c r="A89" s="2" t="s">
        <v>6</v>
      </c>
      <c r="B89" s="2" t="s">
        <v>13</v>
      </c>
      <c r="C89" s="2">
        <v>7.5843056957979869</v>
      </c>
      <c r="D89" s="2">
        <v>84.969454363552813</v>
      </c>
      <c r="E89" s="2">
        <v>164.62216887093959</v>
      </c>
      <c r="J89" s="4">
        <v>1</v>
      </c>
      <c r="K89" s="4">
        <f t="shared" si="4"/>
        <v>3</v>
      </c>
      <c r="L89" s="4">
        <f t="shared" si="5"/>
        <v>2</v>
      </c>
      <c r="M89" s="4">
        <v>7.5843056957979869</v>
      </c>
      <c r="N89" s="4">
        <v>84.969454363552813</v>
      </c>
      <c r="O89" s="4">
        <v>164.62216887093959</v>
      </c>
      <c r="X89" s="22">
        <f t="shared" si="6"/>
        <v>221.79321403286343</v>
      </c>
      <c r="Y89" s="2">
        <f t="shared" si="7"/>
        <v>3268.5284049067354</v>
      </c>
    </row>
    <row r="90" spans="1:25">
      <c r="A90" s="2" t="s">
        <v>10</v>
      </c>
      <c r="B90" s="2" t="s">
        <v>17</v>
      </c>
      <c r="C90" s="2">
        <v>1.7346698382753061</v>
      </c>
      <c r="D90" s="2">
        <v>90.14735392237796</v>
      </c>
      <c r="E90" s="2">
        <v>193.71812611674</v>
      </c>
      <c r="J90" s="4">
        <v>1</v>
      </c>
      <c r="K90" s="4">
        <f t="shared" si="4"/>
        <v>6</v>
      </c>
      <c r="L90" s="4">
        <f t="shared" si="5"/>
        <v>6</v>
      </c>
      <c r="M90" s="4">
        <v>1.7346698382753061</v>
      </c>
      <c r="N90" s="4">
        <v>90.14735392237796</v>
      </c>
      <c r="O90" s="4">
        <v>193.71812611674</v>
      </c>
      <c r="X90" s="22">
        <f t="shared" si="6"/>
        <v>154.77799803327883</v>
      </c>
      <c r="Y90" s="2">
        <f t="shared" si="7"/>
        <v>1516.3335751563607</v>
      </c>
    </row>
    <row r="91" spans="1:25">
      <c r="A91" s="2" t="s">
        <v>7</v>
      </c>
      <c r="B91" s="2" t="s">
        <v>13</v>
      </c>
      <c r="C91" s="2">
        <v>1.543168755915074</v>
      </c>
      <c r="D91" s="2">
        <v>88.09400430045369</v>
      </c>
      <c r="E91" s="2">
        <v>154.4670653891537</v>
      </c>
      <c r="J91" s="4">
        <v>1</v>
      </c>
      <c r="K91" s="4">
        <f t="shared" si="4"/>
        <v>2</v>
      </c>
      <c r="L91" s="4">
        <f t="shared" si="5"/>
        <v>2</v>
      </c>
      <c r="M91" s="4">
        <v>1.543168755915074</v>
      </c>
      <c r="N91" s="4">
        <v>88.09400430045369</v>
      </c>
      <c r="O91" s="4">
        <v>154.4670653891537</v>
      </c>
      <c r="X91" s="22">
        <f t="shared" si="6"/>
        <v>152.75113155662132</v>
      </c>
      <c r="Y91" s="2">
        <f t="shared" si="7"/>
        <v>2.9444289176292822</v>
      </c>
    </row>
    <row r="92" spans="1:25">
      <c r="A92" s="2" t="s">
        <v>5</v>
      </c>
      <c r="B92" s="2" t="s">
        <v>16</v>
      </c>
      <c r="C92" s="2">
        <v>3.223929106091318</v>
      </c>
      <c r="D92" s="2">
        <v>182.4460904857454</v>
      </c>
      <c r="E92" s="2">
        <v>319.81449991279248</v>
      </c>
      <c r="J92" s="4">
        <v>1</v>
      </c>
      <c r="K92" s="4">
        <f t="shared" si="4"/>
        <v>1</v>
      </c>
      <c r="L92" s="4">
        <f t="shared" si="5"/>
        <v>5</v>
      </c>
      <c r="M92" s="4">
        <v>3.223929106091318</v>
      </c>
      <c r="N92" s="4">
        <v>182.4460904857454</v>
      </c>
      <c r="O92" s="4">
        <v>319.81449991279248</v>
      </c>
      <c r="X92" s="22">
        <f t="shared" si="6"/>
        <v>313.95324671229639</v>
      </c>
      <c r="Y92" s="2">
        <f t="shared" si="7"/>
        <v>34.354289080325707</v>
      </c>
    </row>
    <row r="93" spans="1:25">
      <c r="A93" s="2" t="s">
        <v>9</v>
      </c>
      <c r="B93" s="2" t="s">
        <v>15</v>
      </c>
      <c r="C93" s="2">
        <v>2.4359021210186951</v>
      </c>
      <c r="D93" s="2">
        <v>145.66620244870271</v>
      </c>
      <c r="E93" s="2">
        <v>252.10099859523851</v>
      </c>
      <c r="J93" s="4">
        <v>1</v>
      </c>
      <c r="K93" s="4">
        <f t="shared" si="4"/>
        <v>5</v>
      </c>
      <c r="L93" s="4">
        <f t="shared" si="5"/>
        <v>4</v>
      </c>
      <c r="M93" s="4">
        <v>2.4359021210186951</v>
      </c>
      <c r="N93" s="4">
        <v>145.66620244870271</v>
      </c>
      <c r="O93" s="4">
        <v>252.10099859523851</v>
      </c>
      <c r="X93" s="22">
        <f t="shared" si="6"/>
        <v>246.90413441710248</v>
      </c>
      <c r="Y93" s="2">
        <f t="shared" si="7"/>
        <v>27.00739728599342</v>
      </c>
    </row>
    <row r="94" spans="1:25">
      <c r="A94" s="2" t="s">
        <v>9</v>
      </c>
      <c r="B94" s="2" t="s">
        <v>12</v>
      </c>
      <c r="C94" s="2">
        <v>8.846052099329814</v>
      </c>
      <c r="D94" s="2">
        <v>125.50199067723371</v>
      </c>
      <c r="E94" s="2">
        <v>341.34811096796659</v>
      </c>
      <c r="J94" s="4">
        <v>1</v>
      </c>
      <c r="K94" s="4">
        <f t="shared" si="4"/>
        <v>5</v>
      </c>
      <c r="L94" s="4">
        <f t="shared" si="5"/>
        <v>1</v>
      </c>
      <c r="M94" s="4">
        <v>8.846052099329814</v>
      </c>
      <c r="N94" s="4">
        <v>125.50199067723371</v>
      </c>
      <c r="O94" s="4">
        <v>341.34811096796659</v>
      </c>
      <c r="X94" s="22">
        <f t="shared" si="6"/>
        <v>296.2918897524799</v>
      </c>
      <c r="Y94" s="2">
        <f t="shared" si="7"/>
        <v>2030.0630702188726</v>
      </c>
    </row>
    <row r="95" spans="1:25">
      <c r="A95" s="2" t="s">
        <v>6</v>
      </c>
      <c r="B95" s="2" t="s">
        <v>12</v>
      </c>
      <c r="C95" s="2">
        <v>2.9729258862223991</v>
      </c>
      <c r="D95" s="2">
        <v>68.780816393928603</v>
      </c>
      <c r="E95" s="2">
        <v>145.39475158664541</v>
      </c>
      <c r="J95" s="4">
        <v>1</v>
      </c>
      <c r="K95" s="4">
        <f t="shared" si="4"/>
        <v>3</v>
      </c>
      <c r="L95" s="4">
        <f t="shared" si="5"/>
        <v>1</v>
      </c>
      <c r="M95" s="4">
        <v>2.9729258862223991</v>
      </c>
      <c r="N95" s="4">
        <v>68.780816393928603</v>
      </c>
      <c r="O95" s="4">
        <v>145.39475158664541</v>
      </c>
      <c r="X95" s="22">
        <f t="shared" si="6"/>
        <v>141.08899028394131</v>
      </c>
      <c r="Y95" s="2">
        <f t="shared" si="7"/>
        <v>18.539580395864096</v>
      </c>
    </row>
    <row r="96" spans="1:25">
      <c r="A96" s="2" t="s">
        <v>9</v>
      </c>
      <c r="B96" s="2" t="s">
        <v>17</v>
      </c>
      <c r="C96" s="2">
        <v>9.7827873023721814</v>
      </c>
      <c r="D96" s="2">
        <v>166.52017300204599</v>
      </c>
      <c r="E96" s="2">
        <v>430.467290961027</v>
      </c>
      <c r="J96" s="4">
        <v>1</v>
      </c>
      <c r="K96" s="4">
        <f t="shared" si="4"/>
        <v>5</v>
      </c>
      <c r="L96" s="4">
        <f t="shared" si="5"/>
        <v>6</v>
      </c>
      <c r="M96" s="4">
        <v>9.7827873023721814</v>
      </c>
      <c r="N96" s="4">
        <v>166.52017300204599</v>
      </c>
      <c r="O96" s="4">
        <v>430.467290961027</v>
      </c>
      <c r="X96" s="22">
        <f t="shared" si="6"/>
        <v>368.08793607182292</v>
      </c>
      <c r="Y96" s="2">
        <f t="shared" si="7"/>
        <v>3891.1839163932691</v>
      </c>
    </row>
    <row r="97" spans="1:25">
      <c r="A97" s="2" t="s">
        <v>9</v>
      </c>
      <c r="B97" s="2" t="s">
        <v>13</v>
      </c>
      <c r="C97" s="2">
        <v>4.0320621259399614</v>
      </c>
      <c r="D97" s="2">
        <v>191.46149718214789</v>
      </c>
      <c r="E97" s="2">
        <v>395.26446716631278</v>
      </c>
      <c r="J97" s="4">
        <v>1</v>
      </c>
      <c r="K97" s="4">
        <f t="shared" si="4"/>
        <v>5</v>
      </c>
      <c r="L97" s="4">
        <f t="shared" si="5"/>
        <v>2</v>
      </c>
      <c r="M97" s="4">
        <v>4.0320621259399614</v>
      </c>
      <c r="N97" s="4">
        <v>191.46149718214789</v>
      </c>
      <c r="O97" s="4">
        <v>395.26446716631278</v>
      </c>
      <c r="X97" s="22">
        <f t="shared" si="6"/>
        <v>334.89401023448636</v>
      </c>
      <c r="Y97" s="2">
        <f t="shared" si="7"/>
        <v>3644.5920701575092</v>
      </c>
    </row>
    <row r="98" spans="1:25">
      <c r="A98" s="2" t="s">
        <v>10</v>
      </c>
      <c r="B98" s="2" t="s">
        <v>13</v>
      </c>
      <c r="C98" s="2">
        <v>2.6390612411982941</v>
      </c>
      <c r="D98" s="2">
        <v>166.027673684543</v>
      </c>
      <c r="E98" s="2">
        <v>312.61376672360001</v>
      </c>
      <c r="J98" s="4">
        <v>1</v>
      </c>
      <c r="K98" s="4">
        <f t="shared" si="4"/>
        <v>6</v>
      </c>
      <c r="L98" s="4">
        <f t="shared" si="5"/>
        <v>2</v>
      </c>
      <c r="M98" s="4">
        <v>2.6390612411982941</v>
      </c>
      <c r="N98" s="4">
        <v>166.027673684543</v>
      </c>
      <c r="O98" s="4">
        <v>312.61376672360001</v>
      </c>
      <c r="X98" s="22">
        <f t="shared" si="6"/>
        <v>279.23675879481851</v>
      </c>
      <c r="Y98" s="2">
        <f t="shared" si="7"/>
        <v>1114.0246582779428</v>
      </c>
    </row>
    <row r="99" spans="1:25">
      <c r="A99" s="2" t="s">
        <v>6</v>
      </c>
      <c r="B99" s="2" t="s">
        <v>14</v>
      </c>
      <c r="C99" s="2">
        <v>8.1072865642823118</v>
      </c>
      <c r="D99" s="2">
        <v>10.29736998637985</v>
      </c>
      <c r="E99" s="2">
        <v>188.4437299807654</v>
      </c>
      <c r="J99" s="4">
        <v>1</v>
      </c>
      <c r="K99" s="4">
        <f t="shared" si="4"/>
        <v>3</v>
      </c>
      <c r="L99" s="4">
        <f t="shared" si="5"/>
        <v>3</v>
      </c>
      <c r="M99" s="4">
        <v>8.1072865642823118</v>
      </c>
      <c r="N99" s="4">
        <v>10.29736998637985</v>
      </c>
      <c r="O99" s="4">
        <v>188.4437299807654</v>
      </c>
      <c r="X99" s="22">
        <f t="shared" si="6"/>
        <v>117.12454918645574</v>
      </c>
      <c r="Y99" s="2">
        <f t="shared" si="7"/>
        <v>5086.4255491714275</v>
      </c>
    </row>
    <row r="100" spans="1:25">
      <c r="A100" s="2" t="s">
        <v>10</v>
      </c>
      <c r="B100" s="2" t="s">
        <v>15</v>
      </c>
      <c r="C100" s="2">
        <v>6.9283699795078846</v>
      </c>
      <c r="D100" s="2">
        <v>130.91626033484729</v>
      </c>
      <c r="E100" s="2">
        <v>205.61530267567531</v>
      </c>
      <c r="J100" s="4">
        <v>1</v>
      </c>
      <c r="K100" s="4">
        <f t="shared" si="4"/>
        <v>6</v>
      </c>
      <c r="L100" s="4">
        <f t="shared" si="5"/>
        <v>4</v>
      </c>
      <c r="M100" s="4">
        <v>6.9283699795078846</v>
      </c>
      <c r="N100" s="4">
        <v>130.91626033484729</v>
      </c>
      <c r="O100" s="4">
        <v>205.61530267567531</v>
      </c>
      <c r="X100" s="22">
        <f t="shared" si="6"/>
        <v>279.59914347454088</v>
      </c>
      <c r="Y100" s="2">
        <f t="shared" si="7"/>
        <v>5473.6086993518857</v>
      </c>
    </row>
    <row r="101" spans="1:25">
      <c r="A101" s="2" t="s">
        <v>5</v>
      </c>
      <c r="B101" s="2" t="s">
        <v>16</v>
      </c>
      <c r="C101" s="2">
        <v>5.4837614480782513</v>
      </c>
      <c r="D101" s="2">
        <v>19.71572247399914</v>
      </c>
      <c r="E101" s="2">
        <v>122.0424655920884</v>
      </c>
      <c r="J101" s="4">
        <v>1</v>
      </c>
      <c r="K101" s="4">
        <f t="shared" si="4"/>
        <v>1</v>
      </c>
      <c r="L101" s="4">
        <f t="shared" si="5"/>
        <v>5</v>
      </c>
      <c r="M101" s="4">
        <v>5.4837614480782513</v>
      </c>
      <c r="N101" s="4">
        <v>19.71572247399914</v>
      </c>
      <c r="O101" s="4">
        <v>122.0424655920884</v>
      </c>
      <c r="X101" s="22">
        <f t="shared" si="6"/>
        <v>99.94904662712068</v>
      </c>
      <c r="Y101" s="2">
        <f t="shared" si="7"/>
        <v>488.11916156159555</v>
      </c>
    </row>
    <row r="102" spans="1:25">
      <c r="A102" s="2" t="s">
        <v>5</v>
      </c>
      <c r="B102" s="2" t="s">
        <v>12</v>
      </c>
      <c r="C102" s="2">
        <v>5.9982719584386812</v>
      </c>
      <c r="D102" s="2">
        <v>58.945371863407154</v>
      </c>
      <c r="E102" s="2">
        <v>136.58409917624459</v>
      </c>
      <c r="J102" s="4">
        <v>1</v>
      </c>
      <c r="K102" s="4">
        <f t="shared" si="4"/>
        <v>1</v>
      </c>
      <c r="L102" s="4">
        <f t="shared" si="5"/>
        <v>1</v>
      </c>
      <c r="M102" s="4">
        <v>5.9982719584386812</v>
      </c>
      <c r="N102" s="4">
        <v>58.945371863407154</v>
      </c>
      <c r="O102" s="4">
        <v>136.58409917624459</v>
      </c>
      <c r="X102" s="22">
        <f t="shared" si="6"/>
        <v>165.14045486492651</v>
      </c>
      <c r="Y102" s="2">
        <f t="shared" si="7"/>
        <v>815.46545021851614</v>
      </c>
    </row>
    <row r="103" spans="1:25">
      <c r="A103" s="2" t="s">
        <v>10</v>
      </c>
      <c r="B103" s="2" t="s">
        <v>14</v>
      </c>
      <c r="C103" s="2">
        <v>7.4728160044503742</v>
      </c>
      <c r="D103" s="2">
        <v>21.309693066076619</v>
      </c>
      <c r="E103" s="2">
        <v>78.730706785853144</v>
      </c>
      <c r="J103" s="4">
        <v>1</v>
      </c>
      <c r="K103" s="4">
        <f t="shared" si="4"/>
        <v>6</v>
      </c>
      <c r="L103" s="4">
        <f t="shared" si="5"/>
        <v>3</v>
      </c>
      <c r="M103" s="4">
        <v>7.4728160044503742</v>
      </c>
      <c r="N103" s="4">
        <v>21.309693066076619</v>
      </c>
      <c r="O103" s="4">
        <v>78.730706785853144</v>
      </c>
      <c r="X103" s="22">
        <f t="shared" si="6"/>
        <v>123.55731820514042</v>
      </c>
      <c r="Y103" s="2">
        <f t="shared" si="7"/>
        <v>2009.4250913357764</v>
      </c>
    </row>
    <row r="104" spans="1:25">
      <c r="A104" s="2" t="s">
        <v>5</v>
      </c>
      <c r="B104" s="2" t="s">
        <v>14</v>
      </c>
      <c r="C104" s="2">
        <v>3.056092671981689</v>
      </c>
      <c r="D104" s="2">
        <v>124.7211360603837</v>
      </c>
      <c r="E104" s="2">
        <v>178.71995254523031</v>
      </c>
      <c r="J104" s="4">
        <v>1</v>
      </c>
      <c r="K104" s="4">
        <f t="shared" si="4"/>
        <v>1</v>
      </c>
      <c r="L104" s="4">
        <f t="shared" si="5"/>
        <v>3</v>
      </c>
      <c r="M104" s="4">
        <v>3.056092671981689</v>
      </c>
      <c r="N104" s="4">
        <v>124.7211360603837</v>
      </c>
      <c r="O104" s="4">
        <v>178.71995254523031</v>
      </c>
      <c r="X104" s="22">
        <f t="shared" si="6"/>
        <v>226.38024473118099</v>
      </c>
      <c r="Y104" s="2">
        <f t="shared" si="7"/>
        <v>2271.5034512501916</v>
      </c>
    </row>
    <row r="105" spans="1:25">
      <c r="A105" s="2" t="s">
        <v>6</v>
      </c>
      <c r="B105" s="2" t="s">
        <v>17</v>
      </c>
      <c r="C105" s="2">
        <v>9.9670052445106769</v>
      </c>
      <c r="D105" s="2">
        <v>140.45208356359529</v>
      </c>
      <c r="E105" s="2">
        <v>330.23491266267757</v>
      </c>
      <c r="J105" s="4">
        <v>1</v>
      </c>
      <c r="K105" s="4">
        <f t="shared" si="4"/>
        <v>3</v>
      </c>
      <c r="L105" s="4">
        <f t="shared" si="5"/>
        <v>6</v>
      </c>
      <c r="M105" s="4">
        <v>9.9670052445106769</v>
      </c>
      <c r="N105" s="4">
        <v>140.45208356359529</v>
      </c>
      <c r="O105" s="4">
        <v>330.23491266267757</v>
      </c>
      <c r="X105" s="22">
        <f t="shared" si="6"/>
        <v>333.02988468909564</v>
      </c>
      <c r="Y105" s="2">
        <f t="shared" si="7"/>
        <v>7.8118686284595071</v>
      </c>
    </row>
    <row r="106" spans="1:25">
      <c r="A106" s="2" t="s">
        <v>11</v>
      </c>
      <c r="B106" s="2" t="s">
        <v>12</v>
      </c>
      <c r="C106" s="2">
        <v>9.7731384593210482</v>
      </c>
      <c r="D106" s="2">
        <v>31.75265123252197</v>
      </c>
      <c r="E106" s="2">
        <v>174.88012520378939</v>
      </c>
      <c r="J106" s="4">
        <v>1</v>
      </c>
      <c r="K106" s="4">
        <f t="shared" si="4"/>
        <v>7</v>
      </c>
      <c r="L106" s="4">
        <f t="shared" si="5"/>
        <v>1</v>
      </c>
      <c r="M106" s="4">
        <v>9.7731384593210482</v>
      </c>
      <c r="N106" s="4">
        <v>31.75265123252197</v>
      </c>
      <c r="O106" s="4">
        <v>174.88012520378939</v>
      </c>
      <c r="X106" s="22">
        <f t="shared" si="6"/>
        <v>166.97507610893842</v>
      </c>
      <c r="Y106" s="2">
        <f t="shared" si="7"/>
        <v>62.48980119200408</v>
      </c>
    </row>
    <row r="107" spans="1:25">
      <c r="A107" s="2" t="s">
        <v>10</v>
      </c>
      <c r="B107" s="2" t="s">
        <v>17</v>
      </c>
      <c r="C107" s="2">
        <v>6.8529311771224322</v>
      </c>
      <c r="D107" s="2">
        <v>82.929387778546101</v>
      </c>
      <c r="E107" s="2">
        <v>180.26035507887809</v>
      </c>
      <c r="J107" s="4">
        <v>1</v>
      </c>
      <c r="K107" s="4">
        <f t="shared" si="4"/>
        <v>6</v>
      </c>
      <c r="L107" s="4">
        <f t="shared" si="5"/>
        <v>6</v>
      </c>
      <c r="M107" s="4">
        <v>6.8529311771224322</v>
      </c>
      <c r="N107" s="4">
        <v>82.929387778546101</v>
      </c>
      <c r="O107" s="4">
        <v>180.26035507887809</v>
      </c>
      <c r="X107" s="22">
        <f t="shared" si="6"/>
        <v>207.07889560091076</v>
      </c>
      <c r="Y107" s="2">
        <f t="shared" si="7"/>
        <v>719.23411573190799</v>
      </c>
    </row>
    <row r="108" spans="1:25">
      <c r="A108" s="2" t="s">
        <v>7</v>
      </c>
      <c r="B108" s="2" t="s">
        <v>16</v>
      </c>
      <c r="C108" s="2">
        <v>2.7958820583623059</v>
      </c>
      <c r="D108" s="2">
        <v>96.684936701552985</v>
      </c>
      <c r="E108" s="2">
        <v>221.49127227351349</v>
      </c>
      <c r="J108" s="4">
        <v>1</v>
      </c>
      <c r="K108" s="4">
        <f t="shared" si="4"/>
        <v>2</v>
      </c>
      <c r="L108" s="4">
        <f t="shared" si="5"/>
        <v>5</v>
      </c>
      <c r="M108" s="4">
        <v>2.7958820583623059</v>
      </c>
      <c r="N108" s="4">
        <v>96.684936701552985</v>
      </c>
      <c r="O108" s="4">
        <v>221.49127227351349</v>
      </c>
      <c r="X108" s="22">
        <f t="shared" si="6"/>
        <v>180.52669716214206</v>
      </c>
      <c r="Y108" s="2">
        <f t="shared" si="7"/>
        <v>1678.0964140551916</v>
      </c>
    </row>
    <row r="109" spans="1:25">
      <c r="A109" s="2" t="s">
        <v>7</v>
      </c>
      <c r="B109" s="2" t="s">
        <v>14</v>
      </c>
      <c r="C109" s="2">
        <v>7.1220541818816221</v>
      </c>
      <c r="D109" s="2">
        <v>80.120074134574153</v>
      </c>
      <c r="E109" s="2">
        <v>275.36432594288698</v>
      </c>
      <c r="J109" s="4">
        <v>1</v>
      </c>
      <c r="K109" s="4">
        <f t="shared" si="4"/>
        <v>2</v>
      </c>
      <c r="L109" s="4">
        <f t="shared" si="5"/>
        <v>3</v>
      </c>
      <c r="M109" s="4">
        <v>7.1220541818816221</v>
      </c>
      <c r="N109" s="4">
        <v>80.120074134574153</v>
      </c>
      <c r="O109" s="4">
        <v>275.36432594288698</v>
      </c>
      <c r="X109" s="22">
        <f t="shared" si="6"/>
        <v>209.46164468909635</v>
      </c>
      <c r="Y109" s="2">
        <f t="shared" si="7"/>
        <v>4343.1633964387274</v>
      </c>
    </row>
    <row r="110" spans="1:25">
      <c r="A110" s="2" t="s">
        <v>9</v>
      </c>
      <c r="B110" s="2" t="s">
        <v>14</v>
      </c>
      <c r="C110" s="2">
        <v>1.649785680812583</v>
      </c>
      <c r="D110" s="2">
        <v>32.994750092186678</v>
      </c>
      <c r="E110" s="2">
        <v>63.679690022491563</v>
      </c>
      <c r="J110" s="4">
        <v>1</v>
      </c>
      <c r="K110" s="4">
        <f t="shared" si="4"/>
        <v>5</v>
      </c>
      <c r="L110" s="4">
        <f t="shared" si="5"/>
        <v>3</v>
      </c>
      <c r="M110" s="4">
        <v>1.649785680812583</v>
      </c>
      <c r="N110" s="4">
        <v>32.994750092186678</v>
      </c>
      <c r="O110" s="4">
        <v>63.679690022491563</v>
      </c>
      <c r="X110" s="22">
        <f t="shared" si="6"/>
        <v>69.922752518789025</v>
      </c>
      <c r="Y110" s="2">
        <f t="shared" si="7"/>
        <v>38.975829332675893</v>
      </c>
    </row>
    <row r="111" spans="1:25">
      <c r="A111" s="2" t="s">
        <v>5</v>
      </c>
      <c r="B111" s="2" t="s">
        <v>15</v>
      </c>
      <c r="C111" s="2">
        <v>1.2758725198522549</v>
      </c>
      <c r="D111" s="2">
        <v>89.600080135620331</v>
      </c>
      <c r="E111" s="2">
        <v>145.6107952339965</v>
      </c>
      <c r="J111" s="4">
        <v>1</v>
      </c>
      <c r="K111" s="4">
        <f t="shared" si="4"/>
        <v>1</v>
      </c>
      <c r="L111" s="4">
        <f t="shared" si="5"/>
        <v>4</v>
      </c>
      <c r="M111" s="4">
        <v>1.2758725198522549</v>
      </c>
      <c r="N111" s="4">
        <v>89.600080135620331</v>
      </c>
      <c r="O111" s="4">
        <v>145.6107952339965</v>
      </c>
      <c r="X111" s="22">
        <f t="shared" si="6"/>
        <v>152.12589494043061</v>
      </c>
      <c r="Y111" s="2">
        <f t="shared" si="7"/>
        <v>42.446524184777878</v>
      </c>
    </row>
    <row r="112" spans="1:25">
      <c r="A112" s="2" t="s">
        <v>7</v>
      </c>
      <c r="B112" s="2" t="s">
        <v>16</v>
      </c>
      <c r="C112" s="2">
        <v>3.3191459966009229</v>
      </c>
      <c r="D112" s="2">
        <v>152.72382908359941</v>
      </c>
      <c r="E112" s="2">
        <v>296.16177435745868</v>
      </c>
      <c r="J112" s="4">
        <v>1</v>
      </c>
      <c r="K112" s="4">
        <f t="shared" si="4"/>
        <v>2</v>
      </c>
      <c r="L112" s="4">
        <f t="shared" si="5"/>
        <v>5</v>
      </c>
      <c r="M112" s="4">
        <v>3.3191459966009229</v>
      </c>
      <c r="N112" s="4">
        <v>152.72382908359941</v>
      </c>
      <c r="O112" s="4">
        <v>296.16177435745868</v>
      </c>
      <c r="X112" s="22">
        <f t="shared" si="6"/>
        <v>270.24924143431917</v>
      </c>
      <c r="Y112" s="2">
        <f t="shared" si="7"/>
        <v>671.45936249278896</v>
      </c>
    </row>
    <row r="113" spans="1:25">
      <c r="A113" s="2" t="s">
        <v>9</v>
      </c>
      <c r="B113" s="2" t="s">
        <v>14</v>
      </c>
      <c r="C113" s="2">
        <v>5.1636066106538472</v>
      </c>
      <c r="D113" s="2">
        <v>23.49145626131854</v>
      </c>
      <c r="E113" s="2">
        <v>48.741259434064197</v>
      </c>
      <c r="J113" s="4">
        <v>1</v>
      </c>
      <c r="K113" s="4">
        <f t="shared" si="4"/>
        <v>5</v>
      </c>
      <c r="L113" s="4">
        <f t="shared" si="5"/>
        <v>3</v>
      </c>
      <c r="M113" s="4">
        <v>5.1636066106538472</v>
      </c>
      <c r="N113" s="4">
        <v>23.49145626131854</v>
      </c>
      <c r="O113" s="4">
        <v>48.741259434064197</v>
      </c>
      <c r="X113" s="22">
        <f t="shared" si="6"/>
        <v>99.069990846672141</v>
      </c>
      <c r="Y113" s="2">
        <f t="shared" si="7"/>
        <v>2532.9812056024298</v>
      </c>
    </row>
    <row r="114" spans="1:25">
      <c r="A114" s="2" t="s">
        <v>11</v>
      </c>
      <c r="B114" s="2" t="s">
        <v>16</v>
      </c>
      <c r="C114" s="2">
        <v>8.8144525486754244</v>
      </c>
      <c r="D114" s="2">
        <v>25.234202675561651</v>
      </c>
      <c r="E114" s="2">
        <v>192.733575993709</v>
      </c>
      <c r="J114" s="4">
        <v>1</v>
      </c>
      <c r="K114" s="4">
        <f t="shared" si="4"/>
        <v>7</v>
      </c>
      <c r="L114" s="4">
        <f t="shared" si="5"/>
        <v>5</v>
      </c>
      <c r="M114" s="4">
        <v>8.8144525486754244</v>
      </c>
      <c r="N114" s="4">
        <v>25.234202675561651</v>
      </c>
      <c r="O114" s="4">
        <v>192.733575993709</v>
      </c>
      <c r="X114" s="22">
        <f t="shared" si="6"/>
        <v>144.92584316952104</v>
      </c>
      <c r="Y114" s="2">
        <f t="shared" si="7"/>
        <v>2285.5793177889382</v>
      </c>
    </row>
    <row r="115" spans="1:25">
      <c r="A115" s="2" t="s">
        <v>6</v>
      </c>
      <c r="B115" s="2" t="s">
        <v>12</v>
      </c>
      <c r="C115" s="2">
        <v>7.5445216278967724</v>
      </c>
      <c r="D115" s="2">
        <v>77.406545448836994</v>
      </c>
      <c r="E115" s="2">
        <v>202.34840373313949</v>
      </c>
      <c r="J115" s="4">
        <v>1</v>
      </c>
      <c r="K115" s="4">
        <f t="shared" si="4"/>
        <v>3</v>
      </c>
      <c r="L115" s="4">
        <f t="shared" si="5"/>
        <v>1</v>
      </c>
      <c r="M115" s="4">
        <v>7.5445216278967724</v>
      </c>
      <c r="N115" s="4">
        <v>77.406545448836994</v>
      </c>
      <c r="O115" s="4">
        <v>202.34840373313949</v>
      </c>
      <c r="X115" s="22">
        <f t="shared" si="6"/>
        <v>210.20330959999237</v>
      </c>
      <c r="Y115" s="2">
        <f t="shared" si="7"/>
        <v>61.699546177119707</v>
      </c>
    </row>
    <row r="116" spans="1:25">
      <c r="A116" s="2" t="s">
        <v>6</v>
      </c>
      <c r="B116" s="2" t="s">
        <v>13</v>
      </c>
      <c r="C116" s="2">
        <v>7.6843586907998294</v>
      </c>
      <c r="D116" s="2">
        <v>188.92788520759581</v>
      </c>
      <c r="E116" s="2">
        <v>392.54766818914811</v>
      </c>
      <c r="J116" s="4">
        <v>1</v>
      </c>
      <c r="K116" s="4">
        <f t="shared" si="4"/>
        <v>3</v>
      </c>
      <c r="L116" s="4">
        <f t="shared" si="5"/>
        <v>2</v>
      </c>
      <c r="M116" s="4">
        <v>7.6843586907998294</v>
      </c>
      <c r="N116" s="4">
        <v>188.92788520759581</v>
      </c>
      <c r="O116" s="4">
        <v>392.54766818914811</v>
      </c>
      <c r="X116" s="22">
        <f t="shared" si="6"/>
        <v>377.5170839253658</v>
      </c>
      <c r="Y116" s="2">
        <f t="shared" si="7"/>
        <v>225.9184633106606</v>
      </c>
    </row>
    <row r="117" spans="1:25">
      <c r="A117" s="2" t="s">
        <v>6</v>
      </c>
      <c r="B117" s="2" t="s">
        <v>14</v>
      </c>
      <c r="C117" s="2">
        <v>4.8294400100326786</v>
      </c>
      <c r="D117" s="2">
        <v>137.02880287735371</v>
      </c>
      <c r="E117" s="2">
        <v>273.78013433448137</v>
      </c>
      <c r="J117" s="4">
        <v>1</v>
      </c>
      <c r="K117" s="4">
        <f t="shared" si="4"/>
        <v>3</v>
      </c>
      <c r="L117" s="4">
        <f t="shared" si="5"/>
        <v>3</v>
      </c>
      <c r="M117" s="4">
        <v>4.8294400100326786</v>
      </c>
      <c r="N117" s="4">
        <v>137.02880287735371</v>
      </c>
      <c r="O117" s="4">
        <v>273.78013433448137</v>
      </c>
      <c r="X117" s="22">
        <f t="shared" si="6"/>
        <v>265.09495564814341</v>
      </c>
      <c r="Y117" s="2">
        <f t="shared" si="7"/>
        <v>75.432328813619222</v>
      </c>
    </row>
    <row r="118" spans="1:25">
      <c r="A118" s="2" t="s">
        <v>7</v>
      </c>
      <c r="B118" s="2" t="s">
        <v>15</v>
      </c>
      <c r="C118" s="2">
        <v>4.1134149329226659</v>
      </c>
      <c r="D118" s="2">
        <v>138.94729176778731</v>
      </c>
      <c r="E118" s="2">
        <v>263.9538884603121</v>
      </c>
      <c r="J118" s="4">
        <v>1</v>
      </c>
      <c r="K118" s="4">
        <f t="shared" si="4"/>
        <v>2</v>
      </c>
      <c r="L118" s="4">
        <f t="shared" si="5"/>
        <v>4</v>
      </c>
      <c r="M118" s="4">
        <v>4.1134149329226659</v>
      </c>
      <c r="N118" s="4">
        <v>138.94729176778731</v>
      </c>
      <c r="O118" s="4">
        <v>263.9538884603121</v>
      </c>
      <c r="X118" s="22">
        <f t="shared" si="6"/>
        <v>259.69603594247781</v>
      </c>
      <c r="Y118" s="2">
        <f t="shared" si="7"/>
        <v>18.129308063627839</v>
      </c>
    </row>
    <row r="119" spans="1:25">
      <c r="A119" s="2" t="s">
        <v>11</v>
      </c>
      <c r="B119" s="2" t="s">
        <v>12</v>
      </c>
      <c r="C119" s="2">
        <v>4.3393488668614246</v>
      </c>
      <c r="D119" s="2">
        <v>78.76479825919435</v>
      </c>
      <c r="E119" s="2">
        <v>172.44767859764991</v>
      </c>
      <c r="J119" s="4">
        <v>1</v>
      </c>
      <c r="K119" s="4">
        <f t="shared" si="4"/>
        <v>7</v>
      </c>
      <c r="L119" s="4">
        <f t="shared" si="5"/>
        <v>1</v>
      </c>
      <c r="M119" s="4">
        <v>4.3393488668614246</v>
      </c>
      <c r="N119" s="4">
        <v>78.76479825919435</v>
      </c>
      <c r="O119" s="4">
        <v>172.44767859764991</v>
      </c>
      <c r="X119" s="22">
        <f t="shared" si="6"/>
        <v>169.92650479846247</v>
      </c>
      <c r="Y119" s="2">
        <f t="shared" si="7"/>
        <v>6.3563173257092158</v>
      </c>
    </row>
    <row r="120" spans="1:25">
      <c r="A120" s="2" t="s">
        <v>7</v>
      </c>
      <c r="B120" s="2" t="s">
        <v>16</v>
      </c>
      <c r="C120" s="2">
        <v>9.8888460736245207</v>
      </c>
      <c r="D120" s="2">
        <v>122.7955503296223</v>
      </c>
      <c r="E120" s="2">
        <v>344.42152001878839</v>
      </c>
      <c r="J120" s="4">
        <v>1</v>
      </c>
      <c r="K120" s="4">
        <f t="shared" si="4"/>
        <v>2</v>
      </c>
      <c r="L120" s="4">
        <f t="shared" si="5"/>
        <v>5</v>
      </c>
      <c r="M120" s="4">
        <v>9.8888460736245207</v>
      </c>
      <c r="N120" s="4">
        <v>122.7955503296223</v>
      </c>
      <c r="O120" s="4">
        <v>344.42152001878839</v>
      </c>
      <c r="X120" s="22">
        <f t="shared" si="6"/>
        <v>306.67387863698383</v>
      </c>
      <c r="Y120" s="2">
        <f t="shared" si="7"/>
        <v>1424.8844298893237</v>
      </c>
    </row>
    <row r="121" spans="1:25">
      <c r="A121" s="2" t="s">
        <v>5</v>
      </c>
      <c r="B121" s="2" t="s">
        <v>17</v>
      </c>
      <c r="C121" s="2">
        <v>1.3609827227123421</v>
      </c>
      <c r="D121" s="2">
        <v>11.92492496527124</v>
      </c>
      <c r="E121" s="2">
        <v>52.049534671317332</v>
      </c>
      <c r="J121" s="4">
        <v>1</v>
      </c>
      <c r="K121" s="4">
        <f t="shared" si="4"/>
        <v>1</v>
      </c>
      <c r="L121" s="4">
        <f t="shared" si="5"/>
        <v>6</v>
      </c>
      <c r="M121" s="4">
        <v>1.3609827227123421</v>
      </c>
      <c r="N121" s="4">
        <v>11.92492496527124</v>
      </c>
      <c r="O121" s="4">
        <v>52.049534671317332</v>
      </c>
      <c r="X121" s="22">
        <f t="shared" si="6"/>
        <v>37.463165064493921</v>
      </c>
      <c r="Y121" s="2">
        <f t="shared" si="7"/>
        <v>212.76217830686173</v>
      </c>
    </row>
    <row r="122" spans="1:25">
      <c r="A122" s="2" t="s">
        <v>7</v>
      </c>
      <c r="B122" s="2" t="s">
        <v>12</v>
      </c>
      <c r="C122" s="2">
        <v>8.8032834651020373</v>
      </c>
      <c r="D122" s="2">
        <v>130.85824881781301</v>
      </c>
      <c r="E122" s="2">
        <v>327.71978479929493</v>
      </c>
      <c r="J122" s="4">
        <v>1</v>
      </c>
      <c r="K122" s="4">
        <f t="shared" si="4"/>
        <v>2</v>
      </c>
      <c r="L122" s="4">
        <f t="shared" si="5"/>
        <v>1</v>
      </c>
      <c r="M122" s="4">
        <v>8.8032834651020373</v>
      </c>
      <c r="N122" s="4">
        <v>130.85824881781301</v>
      </c>
      <c r="O122" s="4">
        <v>327.71978479929493</v>
      </c>
      <c r="X122" s="22">
        <f t="shared" si="6"/>
        <v>305.84465779543996</v>
      </c>
      <c r="Y122" s="2">
        <f t="shared" si="7"/>
        <v>478.52118143478492</v>
      </c>
    </row>
    <row r="123" spans="1:25">
      <c r="A123" s="2" t="s">
        <v>11</v>
      </c>
      <c r="B123" s="2" t="s">
        <v>14</v>
      </c>
      <c r="C123" s="2">
        <v>6.2080786771515406</v>
      </c>
      <c r="D123" s="2">
        <v>183.524520039485</v>
      </c>
      <c r="E123" s="2">
        <v>346.21976950732858</v>
      </c>
      <c r="J123" s="4">
        <v>1</v>
      </c>
      <c r="K123" s="4">
        <f t="shared" si="4"/>
        <v>7</v>
      </c>
      <c r="L123" s="4">
        <f t="shared" si="5"/>
        <v>3</v>
      </c>
      <c r="M123" s="4">
        <v>6.2080786771515406</v>
      </c>
      <c r="N123" s="4">
        <v>183.524520039485</v>
      </c>
      <c r="O123" s="4">
        <v>346.21976950732858</v>
      </c>
      <c r="X123" s="22">
        <f t="shared" si="6"/>
        <v>348.34269527597388</v>
      </c>
      <c r="Y123" s="2">
        <f t="shared" si="7"/>
        <v>4.5068138191782481</v>
      </c>
    </row>
    <row r="124" spans="1:25">
      <c r="A124" s="2" t="s">
        <v>11</v>
      </c>
      <c r="B124" s="2" t="s">
        <v>16</v>
      </c>
      <c r="C124" s="2">
        <v>4.9475387727063147</v>
      </c>
      <c r="D124" s="2">
        <v>126.3889589855156</v>
      </c>
      <c r="E124" s="2">
        <v>273.60647792821538</v>
      </c>
      <c r="J124" s="4">
        <v>1</v>
      </c>
      <c r="K124" s="4">
        <f t="shared" si="4"/>
        <v>7</v>
      </c>
      <c r="L124" s="4">
        <f t="shared" si="5"/>
        <v>5</v>
      </c>
      <c r="M124" s="4">
        <v>4.9475387727063147</v>
      </c>
      <c r="N124" s="4">
        <v>126.3889589855156</v>
      </c>
      <c r="O124" s="4">
        <v>273.60647792821538</v>
      </c>
      <c r="X124" s="22">
        <f t="shared" si="6"/>
        <v>247.63304412463418</v>
      </c>
      <c r="Y124" s="2">
        <f t="shared" si="7"/>
        <v>674.61926354901459</v>
      </c>
    </row>
    <row r="125" spans="1:25">
      <c r="A125" s="2" t="s">
        <v>5</v>
      </c>
      <c r="B125" s="2" t="s">
        <v>13</v>
      </c>
      <c r="C125" s="2">
        <v>7.5273189437362289</v>
      </c>
      <c r="D125" s="2">
        <v>176.00273275860559</v>
      </c>
      <c r="E125" s="2">
        <v>387.93475413751872</v>
      </c>
      <c r="J125" s="4">
        <v>1</v>
      </c>
      <c r="K125" s="4">
        <f t="shared" si="4"/>
        <v>1</v>
      </c>
      <c r="L125" s="4">
        <f t="shared" si="5"/>
        <v>2</v>
      </c>
      <c r="M125" s="4">
        <v>7.5273189437362289</v>
      </c>
      <c r="N125" s="4">
        <v>176.00273275860559</v>
      </c>
      <c r="O125" s="4">
        <v>387.93475413751872</v>
      </c>
      <c r="X125" s="22">
        <f t="shared" si="6"/>
        <v>357.78831978746285</v>
      </c>
      <c r="Y125" s="2">
        <f t="shared" si="7"/>
        <v>908.8075040222285</v>
      </c>
    </row>
    <row r="126" spans="1:25">
      <c r="A126" s="2" t="s">
        <v>11</v>
      </c>
      <c r="B126" s="2" t="s">
        <v>12</v>
      </c>
      <c r="C126" s="2">
        <v>5.3800204728223253</v>
      </c>
      <c r="D126" s="2">
        <v>147.5548805385578</v>
      </c>
      <c r="E126" s="2">
        <v>255.24924805046919</v>
      </c>
      <c r="J126" s="4">
        <v>1</v>
      </c>
      <c r="K126" s="4">
        <f t="shared" si="4"/>
        <v>7</v>
      </c>
      <c r="L126" s="4">
        <f t="shared" si="5"/>
        <v>1</v>
      </c>
      <c r="M126" s="4">
        <v>5.3800204728223253</v>
      </c>
      <c r="N126" s="4">
        <v>147.5548805385578</v>
      </c>
      <c r="O126" s="4">
        <v>255.24924805046919</v>
      </c>
      <c r="X126" s="22">
        <f t="shared" si="6"/>
        <v>284.9699688174602</v>
      </c>
      <c r="Y126" s="2">
        <f t="shared" si="7"/>
        <v>883.32124290945058</v>
      </c>
    </row>
    <row r="127" spans="1:25">
      <c r="A127" s="2" t="s">
        <v>11</v>
      </c>
      <c r="B127" s="2" t="s">
        <v>14</v>
      </c>
      <c r="C127" s="2">
        <v>8.8608091427349454</v>
      </c>
      <c r="D127" s="2">
        <v>32.906099116701142</v>
      </c>
      <c r="E127" s="2">
        <v>161.92484409433351</v>
      </c>
      <c r="J127" s="4">
        <v>1</v>
      </c>
      <c r="K127" s="4">
        <f t="shared" si="4"/>
        <v>7</v>
      </c>
      <c r="L127" s="4">
        <f t="shared" si="5"/>
        <v>3</v>
      </c>
      <c r="M127" s="4">
        <v>8.8608091427349454</v>
      </c>
      <c r="N127" s="4">
        <v>32.906099116701142</v>
      </c>
      <c r="O127" s="4">
        <v>161.92484409433351</v>
      </c>
      <c r="X127" s="22">
        <f t="shared" si="6"/>
        <v>157.17620184602603</v>
      </c>
      <c r="Y127" s="2">
        <f t="shared" si="7"/>
        <v>22.549603202410683</v>
      </c>
    </row>
    <row r="128" spans="1:25">
      <c r="A128" s="2" t="s">
        <v>6</v>
      </c>
      <c r="B128" s="2" t="s">
        <v>15</v>
      </c>
      <c r="C128" s="2">
        <v>9.1063167761013268</v>
      </c>
      <c r="D128" s="2">
        <v>181.46612838430991</v>
      </c>
      <c r="E128" s="2">
        <v>374.66838462861301</v>
      </c>
      <c r="J128" s="4">
        <v>1</v>
      </c>
      <c r="K128" s="4">
        <f t="shared" si="4"/>
        <v>3</v>
      </c>
      <c r="L128" s="4">
        <f t="shared" si="5"/>
        <v>4</v>
      </c>
      <c r="M128" s="4">
        <v>9.1063167761013268</v>
      </c>
      <c r="N128" s="4">
        <v>181.46612838430991</v>
      </c>
      <c r="O128" s="4">
        <v>374.66838462861301</v>
      </c>
      <c r="X128" s="22">
        <f t="shared" si="6"/>
        <v>383.66018020196151</v>
      </c>
      <c r="Y128" s="2">
        <f t="shared" si="7"/>
        <v>80.852387632889631</v>
      </c>
    </row>
    <row r="129" spans="1:25">
      <c r="A129" s="2" t="s">
        <v>5</v>
      </c>
      <c r="B129" s="2" t="s">
        <v>17</v>
      </c>
      <c r="C129" s="2">
        <v>4.7954883418610983</v>
      </c>
      <c r="D129" s="2">
        <v>22.624330427597229</v>
      </c>
      <c r="E129" s="2">
        <v>93.823883378955401</v>
      </c>
      <c r="J129" s="4">
        <v>1</v>
      </c>
      <c r="K129" s="4">
        <f t="shared" si="4"/>
        <v>1</v>
      </c>
      <c r="L129" s="4">
        <f t="shared" si="5"/>
        <v>6</v>
      </c>
      <c r="M129" s="4">
        <v>4.7954883418610983</v>
      </c>
      <c r="N129" s="4">
        <v>22.624330427597229</v>
      </c>
      <c r="O129" s="4">
        <v>93.823883378955401</v>
      </c>
      <c r="X129" s="22">
        <f t="shared" si="6"/>
        <v>95.656766345853185</v>
      </c>
      <c r="Y129" s="2">
        <f t="shared" si="7"/>
        <v>3.3594599703440253</v>
      </c>
    </row>
    <row r="130" spans="1:25">
      <c r="A130" s="2" t="s">
        <v>8</v>
      </c>
      <c r="B130" s="2" t="s">
        <v>16</v>
      </c>
      <c r="C130" s="2">
        <v>3.4914501751154638</v>
      </c>
      <c r="D130" s="2">
        <v>111.45381978407509</v>
      </c>
      <c r="E130" s="2">
        <v>223.6330078236119</v>
      </c>
      <c r="J130" s="4">
        <v>1</v>
      </c>
      <c r="K130" s="4">
        <f t="shared" si="4"/>
        <v>4</v>
      </c>
      <c r="L130" s="4">
        <f t="shared" si="5"/>
        <v>5</v>
      </c>
      <c r="M130" s="4">
        <v>3.4914501751154638</v>
      </c>
      <c r="N130" s="4">
        <v>111.45381978407509</v>
      </c>
      <c r="O130" s="4">
        <v>223.6330078236119</v>
      </c>
      <c r="X130" s="22">
        <f t="shared" si="6"/>
        <v>209.6269781528548</v>
      </c>
      <c r="Y130" s="2">
        <f t="shared" si="7"/>
        <v>196.16886713812826</v>
      </c>
    </row>
    <row r="131" spans="1:25">
      <c r="A131" s="2" t="s">
        <v>8</v>
      </c>
      <c r="B131" s="2" t="s">
        <v>12</v>
      </c>
      <c r="C131" s="2">
        <v>6.3311529573402598</v>
      </c>
      <c r="D131" s="2">
        <v>37.006053520756957</v>
      </c>
      <c r="E131" s="2">
        <v>89.38484700951507</v>
      </c>
      <c r="J131" s="4">
        <v>1</v>
      </c>
      <c r="K131" s="4">
        <f t="shared" si="4"/>
        <v>4</v>
      </c>
      <c r="L131" s="4">
        <f t="shared" si="5"/>
        <v>1</v>
      </c>
      <c r="M131" s="4">
        <v>6.3311529573402598</v>
      </c>
      <c r="N131" s="4">
        <v>37.006053520756957</v>
      </c>
      <c r="O131" s="4">
        <v>89.38484700951507</v>
      </c>
      <c r="X131" s="22">
        <f t="shared" si="6"/>
        <v>134.51624452659007</v>
      </c>
      <c r="Y131" s="2">
        <f t="shared" si="7"/>
        <v>2036.8430418442435</v>
      </c>
    </row>
    <row r="132" spans="1:25">
      <c r="A132" s="2" t="s">
        <v>11</v>
      </c>
      <c r="B132" s="2" t="s">
        <v>12</v>
      </c>
      <c r="C132" s="2">
        <v>9.2112701105502186</v>
      </c>
      <c r="D132" s="2">
        <v>12.22425603887177</v>
      </c>
      <c r="E132" s="2">
        <v>68.834450961924119</v>
      </c>
      <c r="J132" s="4">
        <v>1</v>
      </c>
      <c r="K132" s="4">
        <f t="shared" ref="K132:K195" si="8">VLOOKUP(A132, $F$3:$G$9, 2, FALSE)</f>
        <v>7</v>
      </c>
      <c r="L132" s="4">
        <f t="shared" ref="L132:L195" si="9">VLOOKUP(B132, $H$3:$I$8, 2, FALSE)</f>
        <v>1</v>
      </c>
      <c r="M132" s="4">
        <v>9.2112701105502186</v>
      </c>
      <c r="N132" s="4">
        <v>12.22425603887177</v>
      </c>
      <c r="O132" s="4">
        <v>68.834450961924119</v>
      </c>
      <c r="X132" s="22">
        <f t="shared" ref="X132:X195" si="10">$U$16+$U$17*K132+$U$18*L132+$U$19*M132+$U$20*N132</f>
        <v>131.03510652360393</v>
      </c>
      <c r="Y132" s="2">
        <f t="shared" ref="Y132:Y195" si="11">POWER(O132-X132,2)</f>
        <v>3868.9215523027297</v>
      </c>
    </row>
    <row r="133" spans="1:25">
      <c r="A133" s="2" t="s">
        <v>8</v>
      </c>
      <c r="B133" s="2" t="s">
        <v>13</v>
      </c>
      <c r="C133" s="2">
        <v>2.895959701050999</v>
      </c>
      <c r="D133" s="2">
        <v>90.186509424251412</v>
      </c>
      <c r="E133" s="2">
        <v>183.1806497889045</v>
      </c>
      <c r="J133" s="4">
        <v>1</v>
      </c>
      <c r="K133" s="4">
        <f t="shared" si="8"/>
        <v>4</v>
      </c>
      <c r="L133" s="4">
        <f t="shared" si="9"/>
        <v>2</v>
      </c>
      <c r="M133" s="4">
        <v>2.895959701050999</v>
      </c>
      <c r="N133" s="4">
        <v>90.186509424251412</v>
      </c>
      <c r="O133" s="4">
        <v>183.1806497889045</v>
      </c>
      <c r="X133" s="22">
        <f t="shared" si="10"/>
        <v>171.10634309575613</v>
      </c>
      <c r="Y133" s="2">
        <f t="shared" si="11"/>
        <v>145.78888212020757</v>
      </c>
    </row>
    <row r="134" spans="1:25">
      <c r="A134" s="2" t="s">
        <v>8</v>
      </c>
      <c r="B134" s="2" t="s">
        <v>13</v>
      </c>
      <c r="C134" s="2">
        <v>6.606699252071345</v>
      </c>
      <c r="D134" s="2">
        <v>66.057734454289687</v>
      </c>
      <c r="E134" s="2">
        <v>218.13752223361061</v>
      </c>
      <c r="J134" s="4">
        <v>1</v>
      </c>
      <c r="K134" s="4">
        <f t="shared" si="8"/>
        <v>4</v>
      </c>
      <c r="L134" s="4">
        <f t="shared" si="9"/>
        <v>2</v>
      </c>
      <c r="M134" s="4">
        <v>6.606699252071345</v>
      </c>
      <c r="N134" s="4">
        <v>66.057734454289687</v>
      </c>
      <c r="O134" s="4">
        <v>218.13752223361061</v>
      </c>
      <c r="X134" s="22">
        <f t="shared" si="10"/>
        <v>180.94367233201314</v>
      </c>
      <c r="Y134" s="2">
        <f t="shared" si="11"/>
        <v>1383.3824705025625</v>
      </c>
    </row>
    <row r="135" spans="1:25">
      <c r="A135" s="2" t="s">
        <v>11</v>
      </c>
      <c r="B135" s="2" t="s">
        <v>15</v>
      </c>
      <c r="C135" s="2">
        <v>6.684041980832685</v>
      </c>
      <c r="D135" s="2">
        <v>102.3400938215446</v>
      </c>
      <c r="E135" s="2">
        <v>234.31514462754501</v>
      </c>
      <c r="J135" s="4">
        <v>1</v>
      </c>
      <c r="K135" s="4">
        <f t="shared" si="8"/>
        <v>7</v>
      </c>
      <c r="L135" s="4">
        <f t="shared" si="9"/>
        <v>4</v>
      </c>
      <c r="M135" s="4">
        <v>6.684041980832685</v>
      </c>
      <c r="N135" s="4">
        <v>102.3400938215446</v>
      </c>
      <c r="O135" s="4">
        <v>234.31514462754501</v>
      </c>
      <c r="X135" s="22">
        <f t="shared" si="10"/>
        <v>233.41710599699184</v>
      </c>
      <c r="Y135" s="2">
        <f t="shared" si="11"/>
        <v>0.80647338196581975</v>
      </c>
    </row>
    <row r="136" spans="1:25">
      <c r="A136" s="2" t="s">
        <v>8</v>
      </c>
      <c r="B136" s="2" t="s">
        <v>17</v>
      </c>
      <c r="C136" s="2">
        <v>7.5980172017375276</v>
      </c>
      <c r="D136" s="2">
        <v>119.6679784795647</v>
      </c>
      <c r="E136" s="2">
        <v>265.86230843226741</v>
      </c>
      <c r="J136" s="4">
        <v>1</v>
      </c>
      <c r="K136" s="4">
        <f t="shared" si="8"/>
        <v>4</v>
      </c>
      <c r="L136" s="4">
        <f t="shared" si="9"/>
        <v>6</v>
      </c>
      <c r="M136" s="4">
        <v>7.5980172017375276</v>
      </c>
      <c r="N136" s="4">
        <v>119.6679784795647</v>
      </c>
      <c r="O136" s="4">
        <v>265.86230843226741</v>
      </c>
      <c r="X136" s="22">
        <f t="shared" si="10"/>
        <v>272.2640100119944</v>
      </c>
      <c r="Y136" s="2">
        <f t="shared" si="11"/>
        <v>40.981783115879026</v>
      </c>
    </row>
    <row r="137" spans="1:25">
      <c r="A137" s="2" t="s">
        <v>7</v>
      </c>
      <c r="B137" s="2" t="s">
        <v>15</v>
      </c>
      <c r="C137" s="2">
        <v>2.1841091661453378</v>
      </c>
      <c r="D137" s="2">
        <v>18.310423738699999</v>
      </c>
      <c r="E137" s="2">
        <v>45.98627774790512</v>
      </c>
      <c r="J137" s="4">
        <v>1</v>
      </c>
      <c r="K137" s="4">
        <f t="shared" si="8"/>
        <v>2</v>
      </c>
      <c r="L137" s="4">
        <f t="shared" si="9"/>
        <v>4</v>
      </c>
      <c r="M137" s="4">
        <v>2.1841091661453378</v>
      </c>
      <c r="N137" s="4">
        <v>18.310423738699999</v>
      </c>
      <c r="O137" s="4">
        <v>45.98627774790512</v>
      </c>
      <c r="X137" s="22">
        <f t="shared" si="10"/>
        <v>56.660630027795719</v>
      </c>
      <c r="Y137" s="2">
        <f t="shared" si="11"/>
        <v>113.94179659520562</v>
      </c>
    </row>
    <row r="138" spans="1:25">
      <c r="A138" s="2" t="s">
        <v>9</v>
      </c>
      <c r="B138" s="2" t="s">
        <v>14</v>
      </c>
      <c r="C138" s="2">
        <v>7.4424246821387969</v>
      </c>
      <c r="D138" s="2">
        <v>33.370626073511673</v>
      </c>
      <c r="E138" s="2">
        <v>80.48630977558291</v>
      </c>
      <c r="J138" s="4">
        <v>1</v>
      </c>
      <c r="K138" s="4">
        <f t="shared" si="8"/>
        <v>5</v>
      </c>
      <c r="L138" s="4">
        <f t="shared" si="9"/>
        <v>3</v>
      </c>
      <c r="M138" s="4">
        <v>7.4424246821387969</v>
      </c>
      <c r="N138" s="4">
        <v>33.370626073511673</v>
      </c>
      <c r="O138" s="4">
        <v>80.48630977558291</v>
      </c>
      <c r="X138" s="22">
        <f t="shared" si="10"/>
        <v>141.81324147536284</v>
      </c>
      <c r="Y138" s="2">
        <f t="shared" si="11"/>
        <v>3760.992551709473</v>
      </c>
    </row>
    <row r="139" spans="1:25">
      <c r="A139" s="2" t="s">
        <v>5</v>
      </c>
      <c r="B139" s="2" t="s">
        <v>14</v>
      </c>
      <c r="C139" s="2">
        <v>9.1812926859907691</v>
      </c>
      <c r="D139" s="2">
        <v>116.1420553255808</v>
      </c>
      <c r="E139" s="2">
        <v>263.93568413665997</v>
      </c>
      <c r="J139" s="4">
        <v>1</v>
      </c>
      <c r="K139" s="4">
        <f t="shared" si="8"/>
        <v>1</v>
      </c>
      <c r="L139" s="4">
        <f t="shared" si="9"/>
        <v>3</v>
      </c>
      <c r="M139" s="4">
        <v>9.1812926859907691</v>
      </c>
      <c r="N139" s="4">
        <v>116.1420553255808</v>
      </c>
      <c r="O139" s="4">
        <v>263.93568413665997</v>
      </c>
      <c r="X139" s="22">
        <f t="shared" si="10"/>
        <v>289.05807759444787</v>
      </c>
      <c r="Y139" s="2">
        <f t="shared" si="11"/>
        <v>631.13465304790395</v>
      </c>
    </row>
    <row r="140" spans="1:25">
      <c r="A140" s="2" t="s">
        <v>9</v>
      </c>
      <c r="B140" s="2" t="s">
        <v>15</v>
      </c>
      <c r="C140" s="2">
        <v>2.6171479798321782</v>
      </c>
      <c r="D140" s="2">
        <v>75.20179710280506</v>
      </c>
      <c r="E140" s="2">
        <v>98.414746100700256</v>
      </c>
      <c r="J140" s="4">
        <v>1</v>
      </c>
      <c r="K140" s="4">
        <f t="shared" si="8"/>
        <v>5</v>
      </c>
      <c r="L140" s="4">
        <f t="shared" si="9"/>
        <v>4</v>
      </c>
      <c r="M140" s="4">
        <v>2.6171479798321782</v>
      </c>
      <c r="N140" s="4">
        <v>75.20179710280506</v>
      </c>
      <c r="O140" s="4">
        <v>98.414746100700256</v>
      </c>
      <c r="X140" s="22">
        <f t="shared" si="10"/>
        <v>144.41944784746059</v>
      </c>
      <c r="Y140" s="2">
        <f t="shared" si="11"/>
        <v>2116.4325828083734</v>
      </c>
    </row>
    <row r="141" spans="1:25">
      <c r="A141" s="2" t="s">
        <v>11</v>
      </c>
      <c r="B141" s="2" t="s">
        <v>17</v>
      </c>
      <c r="C141" s="2">
        <v>3.1378899243148992</v>
      </c>
      <c r="D141" s="2">
        <v>148.54296263439511</v>
      </c>
      <c r="E141" s="2">
        <v>254.46769918605619</v>
      </c>
      <c r="J141" s="4">
        <v>1</v>
      </c>
      <c r="K141" s="4">
        <f t="shared" si="8"/>
        <v>7</v>
      </c>
      <c r="L141" s="4">
        <f t="shared" si="9"/>
        <v>6</v>
      </c>
      <c r="M141" s="4">
        <v>3.1378899243148992</v>
      </c>
      <c r="N141" s="4">
        <v>148.54296263439511</v>
      </c>
      <c r="O141" s="4">
        <v>254.46769918605619</v>
      </c>
      <c r="X141" s="22">
        <f t="shared" si="10"/>
        <v>258.13231127283279</v>
      </c>
      <c r="Y141" s="2">
        <f t="shared" si="11"/>
        <v>13.429381746549147</v>
      </c>
    </row>
    <row r="142" spans="1:25">
      <c r="A142" s="2" t="s">
        <v>6</v>
      </c>
      <c r="B142" s="2" t="s">
        <v>15</v>
      </c>
      <c r="C142" s="2">
        <v>9.7425558463747564</v>
      </c>
      <c r="D142" s="2">
        <v>133.93541323246851</v>
      </c>
      <c r="E142" s="2">
        <v>250.71082931134751</v>
      </c>
      <c r="J142" s="4">
        <v>1</v>
      </c>
      <c r="K142" s="4">
        <f t="shared" si="8"/>
        <v>3</v>
      </c>
      <c r="L142" s="4">
        <f t="shared" si="9"/>
        <v>4</v>
      </c>
      <c r="M142" s="4">
        <v>9.7425558463747564</v>
      </c>
      <c r="N142" s="4">
        <v>133.93541323246851</v>
      </c>
      <c r="O142" s="4">
        <v>250.71082931134751</v>
      </c>
      <c r="X142" s="22">
        <f t="shared" si="10"/>
        <v>320.85995965480333</v>
      </c>
      <c r="Y142" s="2">
        <f t="shared" si="11"/>
        <v>4920.9004879431541</v>
      </c>
    </row>
    <row r="143" spans="1:25">
      <c r="A143" s="2" t="s">
        <v>5</v>
      </c>
      <c r="B143" s="2" t="s">
        <v>17</v>
      </c>
      <c r="C143" s="2">
        <v>2.6287925743854079</v>
      </c>
      <c r="D143" s="2">
        <v>170.6648289680823</v>
      </c>
      <c r="E143" s="2">
        <v>280.93949221148091</v>
      </c>
      <c r="J143" s="4">
        <v>1</v>
      </c>
      <c r="K143" s="4">
        <f t="shared" si="8"/>
        <v>1</v>
      </c>
      <c r="L143" s="4">
        <f t="shared" si="9"/>
        <v>6</v>
      </c>
      <c r="M143" s="4">
        <v>2.6287925743854079</v>
      </c>
      <c r="N143" s="4">
        <v>170.6648289680823</v>
      </c>
      <c r="O143" s="4">
        <v>280.93949221148091</v>
      </c>
      <c r="X143" s="22">
        <f t="shared" si="10"/>
        <v>288.97737411519591</v>
      </c>
      <c r="Y143" s="2">
        <f t="shared" si="11"/>
        <v>64.607545498069129</v>
      </c>
    </row>
    <row r="144" spans="1:25">
      <c r="A144" s="2" t="s">
        <v>11</v>
      </c>
      <c r="B144" s="2" t="s">
        <v>17</v>
      </c>
      <c r="C144" s="2">
        <v>8.6894658403262124</v>
      </c>
      <c r="D144" s="2">
        <v>141.57363706715279</v>
      </c>
      <c r="E144" s="2">
        <v>221.2450889302398</v>
      </c>
      <c r="J144" s="4">
        <v>1</v>
      </c>
      <c r="K144" s="4">
        <f t="shared" si="8"/>
        <v>7</v>
      </c>
      <c r="L144" s="4">
        <f t="shared" si="9"/>
        <v>6</v>
      </c>
      <c r="M144" s="4">
        <v>8.6894658403262124</v>
      </c>
      <c r="N144" s="4">
        <v>141.57363706715279</v>
      </c>
      <c r="O144" s="4">
        <v>221.2450889302398</v>
      </c>
      <c r="X144" s="22">
        <f t="shared" si="10"/>
        <v>316.13864800597219</v>
      </c>
      <c r="Y144" s="2">
        <f t="shared" si="11"/>
        <v>9004.7875540595123</v>
      </c>
    </row>
    <row r="145" spans="1:25">
      <c r="A145" s="2" t="s">
        <v>6</v>
      </c>
      <c r="B145" s="2" t="s">
        <v>16</v>
      </c>
      <c r="C145" s="2">
        <v>5.4305007080323131</v>
      </c>
      <c r="D145" s="2">
        <v>91.686904704128139</v>
      </c>
      <c r="E145" s="2">
        <v>208.8929197414987</v>
      </c>
      <c r="J145" s="4">
        <v>1</v>
      </c>
      <c r="K145" s="4">
        <f t="shared" si="8"/>
        <v>3</v>
      </c>
      <c r="L145" s="4">
        <f t="shared" si="9"/>
        <v>5</v>
      </c>
      <c r="M145" s="4">
        <v>5.4305007080323131</v>
      </c>
      <c r="N145" s="4">
        <v>91.686904704128139</v>
      </c>
      <c r="O145" s="4">
        <v>208.8929197414987</v>
      </c>
      <c r="X145" s="22">
        <f t="shared" si="10"/>
        <v>204.83595512919047</v>
      </c>
      <c r="Y145" s="2">
        <f t="shared" si="11"/>
        <v>16.458961865521307</v>
      </c>
    </row>
    <row r="146" spans="1:25">
      <c r="A146" s="2" t="s">
        <v>9</v>
      </c>
      <c r="B146" s="2" t="s">
        <v>17</v>
      </c>
      <c r="C146" s="2">
        <v>3.225079669628593</v>
      </c>
      <c r="D146" s="2">
        <v>137.86365825494221</v>
      </c>
      <c r="E146" s="2">
        <v>274.18530531055973</v>
      </c>
      <c r="J146" s="4">
        <v>1</v>
      </c>
      <c r="K146" s="4">
        <f t="shared" si="8"/>
        <v>5</v>
      </c>
      <c r="L146" s="4">
        <f t="shared" si="9"/>
        <v>6</v>
      </c>
      <c r="M146" s="4">
        <v>3.225079669628593</v>
      </c>
      <c r="N146" s="4">
        <v>137.86365825494221</v>
      </c>
      <c r="O146" s="4">
        <v>274.18530531055973</v>
      </c>
      <c r="X146" s="22">
        <f t="shared" si="10"/>
        <v>244.74858273922439</v>
      </c>
      <c r="Y146" s="2">
        <f t="shared" si="11"/>
        <v>866.52063574176339</v>
      </c>
    </row>
    <row r="147" spans="1:25">
      <c r="A147" s="2" t="s">
        <v>11</v>
      </c>
      <c r="B147" s="2" t="s">
        <v>13</v>
      </c>
      <c r="C147" s="2">
        <v>8.8367491114526029</v>
      </c>
      <c r="D147" s="2">
        <v>62.32242310852952</v>
      </c>
      <c r="E147" s="2">
        <v>219.91525814792081</v>
      </c>
      <c r="J147" s="4">
        <v>1</v>
      </c>
      <c r="K147" s="4">
        <f t="shared" si="8"/>
        <v>7</v>
      </c>
      <c r="L147" s="4">
        <f t="shared" si="9"/>
        <v>2</v>
      </c>
      <c r="M147" s="4">
        <v>8.8367491114526029</v>
      </c>
      <c r="N147" s="4">
        <v>62.32242310852952</v>
      </c>
      <c r="O147" s="4">
        <v>219.91525814792081</v>
      </c>
      <c r="X147" s="22">
        <f t="shared" si="10"/>
        <v>200.73446963048804</v>
      </c>
      <c r="Y147" s="2">
        <f t="shared" si="11"/>
        <v>367.90264815048096</v>
      </c>
    </row>
    <row r="148" spans="1:25">
      <c r="A148" s="2" t="s">
        <v>5</v>
      </c>
      <c r="B148" s="2" t="s">
        <v>17</v>
      </c>
      <c r="C148" s="2">
        <v>5.0077472950239894</v>
      </c>
      <c r="D148" s="2">
        <v>68.199564767860409</v>
      </c>
      <c r="E148" s="2">
        <v>155.66108512811681</v>
      </c>
      <c r="J148" s="4">
        <v>1</v>
      </c>
      <c r="K148" s="4">
        <f t="shared" si="8"/>
        <v>1</v>
      </c>
      <c r="L148" s="4">
        <f t="shared" si="9"/>
        <v>6</v>
      </c>
      <c r="M148" s="4">
        <v>5.0077472950239894</v>
      </c>
      <c r="N148" s="4">
        <v>68.199564767860409</v>
      </c>
      <c r="O148" s="4">
        <v>155.66108512811681</v>
      </c>
      <c r="X148" s="22">
        <f t="shared" si="10"/>
        <v>165.99956429246197</v>
      </c>
      <c r="Y148" s="2">
        <f t="shared" si="11"/>
        <v>106.88415143159898</v>
      </c>
    </row>
    <row r="149" spans="1:25">
      <c r="A149" s="2" t="s">
        <v>5</v>
      </c>
      <c r="B149" s="2" t="s">
        <v>17</v>
      </c>
      <c r="C149" s="2">
        <v>5.6333561853672114</v>
      </c>
      <c r="D149" s="2">
        <v>159.90718038495069</v>
      </c>
      <c r="E149" s="2">
        <v>316.57369719792769</v>
      </c>
      <c r="J149" s="4">
        <v>1</v>
      </c>
      <c r="K149" s="4">
        <f t="shared" si="8"/>
        <v>1</v>
      </c>
      <c r="L149" s="4">
        <f t="shared" si="9"/>
        <v>6</v>
      </c>
      <c r="M149" s="4">
        <v>5.6333561853672114</v>
      </c>
      <c r="N149" s="4">
        <v>159.90718038495069</v>
      </c>
      <c r="O149" s="4">
        <v>316.57369719792769</v>
      </c>
      <c r="X149" s="22">
        <f t="shared" si="10"/>
        <v>309.98941290324268</v>
      </c>
      <c r="Y149" s="2">
        <f t="shared" si="11"/>
        <v>43.352799673235623</v>
      </c>
    </row>
    <row r="150" spans="1:25">
      <c r="A150" s="2" t="s">
        <v>10</v>
      </c>
      <c r="B150" s="2" t="s">
        <v>17</v>
      </c>
      <c r="C150" s="2">
        <v>4.2331003245978911</v>
      </c>
      <c r="D150" s="2">
        <v>94.819708116300617</v>
      </c>
      <c r="E150" s="2">
        <v>164.49831126525669</v>
      </c>
      <c r="J150" s="4">
        <v>1</v>
      </c>
      <c r="K150" s="4">
        <f t="shared" si="8"/>
        <v>6</v>
      </c>
      <c r="L150" s="4">
        <f t="shared" si="9"/>
        <v>6</v>
      </c>
      <c r="M150" s="4">
        <v>4.2331003245978911</v>
      </c>
      <c r="N150" s="4">
        <v>94.819708116300617</v>
      </c>
      <c r="O150" s="4">
        <v>164.49831126525669</v>
      </c>
      <c r="X150" s="22">
        <f t="shared" si="10"/>
        <v>192.48779984964651</v>
      </c>
      <c r="Y150" s="2">
        <f t="shared" si="11"/>
        <v>783.41147121568792</v>
      </c>
    </row>
    <row r="151" spans="1:25">
      <c r="A151" s="2" t="s">
        <v>7</v>
      </c>
      <c r="B151" s="2" t="s">
        <v>14</v>
      </c>
      <c r="C151" s="2">
        <v>6.3365576629143474</v>
      </c>
      <c r="D151" s="2">
        <v>161.69226469848701</v>
      </c>
      <c r="E151" s="2">
        <v>344.21007332079301</v>
      </c>
      <c r="J151" s="4">
        <v>1</v>
      </c>
      <c r="K151" s="4">
        <f t="shared" si="8"/>
        <v>2</v>
      </c>
      <c r="L151" s="4">
        <f t="shared" si="9"/>
        <v>3</v>
      </c>
      <c r="M151" s="4">
        <v>6.3365576629143474</v>
      </c>
      <c r="N151" s="4">
        <v>161.69226469848701</v>
      </c>
      <c r="O151" s="4">
        <v>344.21007332079301</v>
      </c>
      <c r="X151" s="22">
        <f t="shared" si="10"/>
        <v>321.01263915052573</v>
      </c>
      <c r="Y151" s="2">
        <f t="shared" si="11"/>
        <v>538.12095208388428</v>
      </c>
    </row>
    <row r="152" spans="1:25">
      <c r="A152" s="2" t="s">
        <v>8</v>
      </c>
      <c r="B152" s="2" t="s">
        <v>13</v>
      </c>
      <c r="C152" s="2">
        <v>2.4717148532652051</v>
      </c>
      <c r="D152" s="2">
        <v>166.2602509969729</v>
      </c>
      <c r="E152" s="2">
        <v>244.8166430270546</v>
      </c>
      <c r="J152" s="4">
        <v>1</v>
      </c>
      <c r="K152" s="4">
        <f t="shared" si="8"/>
        <v>4</v>
      </c>
      <c r="L152" s="4">
        <f t="shared" si="9"/>
        <v>2</v>
      </c>
      <c r="M152" s="4">
        <v>2.4717148532652051</v>
      </c>
      <c r="N152" s="4">
        <v>166.2602509969729</v>
      </c>
      <c r="O152" s="4">
        <v>244.8166430270546</v>
      </c>
      <c r="X152" s="22">
        <f t="shared" si="10"/>
        <v>278.93467343224268</v>
      </c>
      <c r="Y152" s="2">
        <f t="shared" si="11"/>
        <v>1164.0399987293383</v>
      </c>
    </row>
    <row r="153" spans="1:25">
      <c r="A153" s="2" t="s">
        <v>6</v>
      </c>
      <c r="B153" s="2" t="s">
        <v>13</v>
      </c>
      <c r="C153" s="2">
        <v>4.5197338298658458</v>
      </c>
      <c r="D153" s="2">
        <v>172.93684415564391</v>
      </c>
      <c r="E153" s="2">
        <v>281.25891475244549</v>
      </c>
      <c r="J153" s="4">
        <v>1</v>
      </c>
      <c r="K153" s="4">
        <f t="shared" si="8"/>
        <v>3</v>
      </c>
      <c r="L153" s="4">
        <f t="shared" si="9"/>
        <v>2</v>
      </c>
      <c r="M153" s="4">
        <v>4.5197338298658458</v>
      </c>
      <c r="N153" s="4">
        <v>172.93684415564391</v>
      </c>
      <c r="O153" s="4">
        <v>281.25891475244549</v>
      </c>
      <c r="X153" s="22">
        <f t="shared" si="10"/>
        <v>314.7829996103506</v>
      </c>
      <c r="Y153" s="2">
        <f t="shared" si="11"/>
        <v>1123.8642655600227</v>
      </c>
    </row>
    <row r="154" spans="1:25">
      <c r="A154" s="2" t="s">
        <v>10</v>
      </c>
      <c r="B154" s="2" t="s">
        <v>15</v>
      </c>
      <c r="C154" s="2">
        <v>9.7247109010175876</v>
      </c>
      <c r="D154" s="2">
        <v>184.16069480982941</v>
      </c>
      <c r="E154" s="2">
        <v>350.19056978799222</v>
      </c>
      <c r="J154" s="4">
        <v>1</v>
      </c>
      <c r="K154" s="4">
        <f t="shared" si="8"/>
        <v>6</v>
      </c>
      <c r="L154" s="4">
        <f t="shared" si="9"/>
        <v>4</v>
      </c>
      <c r="M154" s="4">
        <v>9.7247109010175876</v>
      </c>
      <c r="N154" s="4">
        <v>184.16069480982941</v>
      </c>
      <c r="O154" s="4">
        <v>350.19056978799222</v>
      </c>
      <c r="X154" s="22">
        <f t="shared" si="10"/>
        <v>393.16006431497982</v>
      </c>
      <c r="Y154" s="2">
        <f t="shared" si="11"/>
        <v>1846.3774599048177</v>
      </c>
    </row>
    <row r="155" spans="1:25">
      <c r="A155" s="2" t="s">
        <v>8</v>
      </c>
      <c r="B155" s="2" t="s">
        <v>16</v>
      </c>
      <c r="C155" s="2">
        <v>3.3232008943101481</v>
      </c>
      <c r="D155" s="2">
        <v>91.887191897526293</v>
      </c>
      <c r="E155" s="2">
        <v>161.16374381251219</v>
      </c>
      <c r="J155" s="4">
        <v>1</v>
      </c>
      <c r="K155" s="4">
        <f t="shared" si="8"/>
        <v>4</v>
      </c>
      <c r="L155" s="4">
        <f t="shared" si="9"/>
        <v>5</v>
      </c>
      <c r="M155" s="4">
        <v>3.3232008943101481</v>
      </c>
      <c r="N155" s="4">
        <v>91.887191897526293</v>
      </c>
      <c r="O155" s="4">
        <v>161.16374381251219</v>
      </c>
      <c r="X155" s="22">
        <f t="shared" si="10"/>
        <v>178.47730793359432</v>
      </c>
      <c r="Y155" s="2">
        <f t="shared" si="11"/>
        <v>299.75950257482219</v>
      </c>
    </row>
    <row r="156" spans="1:25">
      <c r="A156" s="2" t="s">
        <v>8</v>
      </c>
      <c r="B156" s="2" t="s">
        <v>17</v>
      </c>
      <c r="C156" s="2">
        <v>6.9106299808716294</v>
      </c>
      <c r="D156" s="2">
        <v>70.584695481016382</v>
      </c>
      <c r="E156" s="2">
        <v>218.53008237513001</v>
      </c>
      <c r="J156" s="4">
        <v>1</v>
      </c>
      <c r="K156" s="4">
        <f t="shared" si="8"/>
        <v>4</v>
      </c>
      <c r="L156" s="4">
        <f t="shared" si="9"/>
        <v>6</v>
      </c>
      <c r="M156" s="4">
        <v>6.9106299808716294</v>
      </c>
      <c r="N156" s="4">
        <v>70.584695481016382</v>
      </c>
      <c r="O156" s="4">
        <v>218.53008237513001</v>
      </c>
      <c r="X156" s="22">
        <f t="shared" si="10"/>
        <v>190.85708907181194</v>
      </c>
      <c r="Y156" s="2">
        <f t="shared" si="11"/>
        <v>765.79455836548652</v>
      </c>
    </row>
    <row r="157" spans="1:25">
      <c r="A157" s="2" t="s">
        <v>11</v>
      </c>
      <c r="B157" s="2" t="s">
        <v>12</v>
      </c>
      <c r="C157" s="2">
        <v>3.926710578022254</v>
      </c>
      <c r="D157" s="2">
        <v>120.6177618528816</v>
      </c>
      <c r="E157" s="2">
        <v>259.47074295335119</v>
      </c>
      <c r="J157" s="4">
        <v>1</v>
      </c>
      <c r="K157" s="4">
        <f t="shared" si="8"/>
        <v>7</v>
      </c>
      <c r="L157" s="4">
        <f t="shared" si="9"/>
        <v>1</v>
      </c>
      <c r="M157" s="4">
        <v>3.926710578022254</v>
      </c>
      <c r="N157" s="4">
        <v>120.6177618528816</v>
      </c>
      <c r="O157" s="4">
        <v>259.47074295335119</v>
      </c>
      <c r="X157" s="22">
        <f t="shared" si="10"/>
        <v>227.04253606605633</v>
      </c>
      <c r="Y157" s="2">
        <f t="shared" si="11"/>
        <v>1051.588601925198</v>
      </c>
    </row>
    <row r="158" spans="1:25">
      <c r="A158" s="2" t="s">
        <v>8</v>
      </c>
      <c r="B158" s="2" t="s">
        <v>16</v>
      </c>
      <c r="C158" s="2">
        <v>7.961258131179406</v>
      </c>
      <c r="D158" s="2">
        <v>80.522760453149246</v>
      </c>
      <c r="E158" s="2">
        <v>274.86110440638089</v>
      </c>
      <c r="J158" s="4">
        <v>1</v>
      </c>
      <c r="K158" s="4">
        <f t="shared" si="8"/>
        <v>4</v>
      </c>
      <c r="L158" s="4">
        <f t="shared" si="9"/>
        <v>5</v>
      </c>
      <c r="M158" s="4">
        <v>7.961258131179406</v>
      </c>
      <c r="N158" s="4">
        <v>80.522760453149246</v>
      </c>
      <c r="O158" s="4">
        <v>274.86110440638089</v>
      </c>
      <c r="X158" s="22">
        <f t="shared" si="10"/>
        <v>218.70283163006826</v>
      </c>
      <c r="Y158" s="2">
        <f t="shared" si="11"/>
        <v>3153.7516012187361</v>
      </c>
    </row>
    <row r="159" spans="1:25">
      <c r="A159" s="2" t="s">
        <v>7</v>
      </c>
      <c r="B159" s="2" t="s">
        <v>16</v>
      </c>
      <c r="C159" s="2">
        <v>2.1778629464651482</v>
      </c>
      <c r="D159" s="2">
        <v>124.2040916920443</v>
      </c>
      <c r="E159" s="2">
        <v>198.63488960837049</v>
      </c>
      <c r="J159" s="4">
        <v>1</v>
      </c>
      <c r="K159" s="4">
        <f t="shared" si="8"/>
        <v>2</v>
      </c>
      <c r="L159" s="4">
        <f t="shared" si="9"/>
        <v>5</v>
      </c>
      <c r="M159" s="4">
        <v>2.1778629464651482</v>
      </c>
      <c r="N159" s="4">
        <v>124.2040916920443</v>
      </c>
      <c r="O159" s="4">
        <v>198.63488960837049</v>
      </c>
      <c r="X159" s="22">
        <f t="shared" si="10"/>
        <v>213.81226272881605</v>
      </c>
      <c r="Y159" s="2">
        <f t="shared" si="11"/>
        <v>230.35265483722358</v>
      </c>
    </row>
    <row r="160" spans="1:25">
      <c r="A160" s="2" t="s">
        <v>5</v>
      </c>
      <c r="B160" s="2" t="s">
        <v>13</v>
      </c>
      <c r="C160" s="2">
        <v>9.7283894057069027</v>
      </c>
      <c r="D160" s="2">
        <v>144.0613139023267</v>
      </c>
      <c r="E160" s="2">
        <v>235.7748790287863</v>
      </c>
      <c r="J160" s="4">
        <v>1</v>
      </c>
      <c r="K160" s="4">
        <f t="shared" si="8"/>
        <v>1</v>
      </c>
      <c r="L160" s="4">
        <f t="shared" si="9"/>
        <v>2</v>
      </c>
      <c r="M160" s="4">
        <v>9.7283894057069027</v>
      </c>
      <c r="N160" s="4">
        <v>144.0613139023267</v>
      </c>
      <c r="O160" s="4">
        <v>235.7748790287863</v>
      </c>
      <c r="X160" s="22">
        <f t="shared" si="10"/>
        <v>337.42492536619812</v>
      </c>
      <c r="Y160" s="2">
        <f t="shared" si="11"/>
        <v>10332.731920397971</v>
      </c>
    </row>
    <row r="161" spans="1:25">
      <c r="A161" s="2" t="s">
        <v>10</v>
      </c>
      <c r="B161" s="2" t="s">
        <v>16</v>
      </c>
      <c r="C161" s="2">
        <v>5.0841058724527528</v>
      </c>
      <c r="D161" s="2">
        <v>140.796953513506</v>
      </c>
      <c r="E161" s="2">
        <v>248.40634490248561</v>
      </c>
      <c r="J161" s="4">
        <v>1</v>
      </c>
      <c r="K161" s="4">
        <f t="shared" si="8"/>
        <v>6</v>
      </c>
      <c r="L161" s="4">
        <f t="shared" si="9"/>
        <v>5</v>
      </c>
      <c r="M161" s="4">
        <v>5.0841058724527528</v>
      </c>
      <c r="N161" s="4">
        <v>140.796953513506</v>
      </c>
      <c r="O161" s="4">
        <v>248.40634490248561</v>
      </c>
      <c r="X161" s="22">
        <f t="shared" si="10"/>
        <v>271.43288158570249</v>
      </c>
      <c r="Y161" s="2">
        <f t="shared" si="11"/>
        <v>530.22139162353244</v>
      </c>
    </row>
    <row r="162" spans="1:25">
      <c r="A162" s="2" t="s">
        <v>8</v>
      </c>
      <c r="B162" s="2" t="s">
        <v>17</v>
      </c>
      <c r="C162" s="2">
        <v>3.1244541701181761</v>
      </c>
      <c r="D162" s="2">
        <v>81.165048533823054</v>
      </c>
      <c r="E162" s="2">
        <v>126.2329482366012</v>
      </c>
      <c r="J162" s="4">
        <v>1</v>
      </c>
      <c r="K162" s="4">
        <f t="shared" si="8"/>
        <v>4</v>
      </c>
      <c r="L162" s="4">
        <f t="shared" si="9"/>
        <v>6</v>
      </c>
      <c r="M162" s="4">
        <v>3.1244541701181761</v>
      </c>
      <c r="N162" s="4">
        <v>81.165048533823054</v>
      </c>
      <c r="O162" s="4">
        <v>126.2329482366012</v>
      </c>
      <c r="X162" s="22">
        <f t="shared" si="10"/>
        <v>159.95661856534963</v>
      </c>
      <c r="Y162" s="2">
        <f t="shared" si="11"/>
        <v>1137.2859404421069</v>
      </c>
    </row>
    <row r="163" spans="1:25">
      <c r="A163" s="2" t="s">
        <v>11</v>
      </c>
      <c r="B163" s="2" t="s">
        <v>17</v>
      </c>
      <c r="C163" s="2">
        <v>1.661470725970114</v>
      </c>
      <c r="D163" s="2">
        <v>41.703438322763027</v>
      </c>
      <c r="E163" s="2">
        <v>102.4530857251837</v>
      </c>
      <c r="J163" s="4">
        <v>1</v>
      </c>
      <c r="K163" s="4">
        <f t="shared" si="8"/>
        <v>7</v>
      </c>
      <c r="L163" s="4">
        <f t="shared" si="9"/>
        <v>6</v>
      </c>
      <c r="M163" s="4">
        <v>1.661470725970114</v>
      </c>
      <c r="N163" s="4">
        <v>41.703438322763027</v>
      </c>
      <c r="O163" s="4">
        <v>102.4530857251837</v>
      </c>
      <c r="X163" s="22">
        <f t="shared" si="10"/>
        <v>81.177978135467697</v>
      </c>
      <c r="Y163" s="2">
        <f t="shared" si="11"/>
        <v>452.63020295399139</v>
      </c>
    </row>
    <row r="164" spans="1:25">
      <c r="A164" s="2" t="s">
        <v>7</v>
      </c>
      <c r="B164" s="2" t="s">
        <v>14</v>
      </c>
      <c r="C164" s="2">
        <v>2.527821145787867</v>
      </c>
      <c r="D164" s="2">
        <v>91.800574307819431</v>
      </c>
      <c r="E164" s="2">
        <v>218.05313259305299</v>
      </c>
      <c r="J164" s="4">
        <v>1</v>
      </c>
      <c r="K164" s="4">
        <f t="shared" si="8"/>
        <v>2</v>
      </c>
      <c r="L164" s="4">
        <f t="shared" si="9"/>
        <v>3</v>
      </c>
      <c r="M164" s="4">
        <v>2.527821145787867</v>
      </c>
      <c r="N164" s="4">
        <v>91.800574307819431</v>
      </c>
      <c r="O164" s="4">
        <v>218.05313259305299</v>
      </c>
      <c r="X164" s="22">
        <f t="shared" si="10"/>
        <v>170.24548959857674</v>
      </c>
      <c r="Y164" s="2">
        <f t="shared" si="11"/>
        <v>2285.5707286872944</v>
      </c>
    </row>
    <row r="165" spans="1:25">
      <c r="A165" s="2" t="s">
        <v>9</v>
      </c>
      <c r="B165" s="2" t="s">
        <v>17</v>
      </c>
      <c r="C165" s="2">
        <v>5.6779655370041588</v>
      </c>
      <c r="D165" s="2">
        <v>37.092887375562661</v>
      </c>
      <c r="E165" s="2">
        <v>80.201065450237621</v>
      </c>
      <c r="J165" s="4">
        <v>1</v>
      </c>
      <c r="K165" s="4">
        <f t="shared" si="8"/>
        <v>5</v>
      </c>
      <c r="L165" s="4">
        <f t="shared" si="9"/>
        <v>6</v>
      </c>
      <c r="M165" s="4">
        <v>5.6779655370041588</v>
      </c>
      <c r="N165" s="4">
        <v>37.092887375562661</v>
      </c>
      <c r="O165" s="4">
        <v>80.201065450237621</v>
      </c>
      <c r="X165" s="22">
        <f t="shared" si="10"/>
        <v>125.1993512314379</v>
      </c>
      <c r="Y165" s="2">
        <f t="shared" si="11"/>
        <v>2024.8457232465714</v>
      </c>
    </row>
    <row r="166" spans="1:25">
      <c r="A166" s="2" t="s">
        <v>5</v>
      </c>
      <c r="B166" s="2" t="s">
        <v>17</v>
      </c>
      <c r="C166" s="2">
        <v>4.0330285878815761</v>
      </c>
      <c r="D166" s="2">
        <v>179.11843668492361</v>
      </c>
      <c r="E166" s="2">
        <v>382.35644644552741</v>
      </c>
      <c r="J166" s="4">
        <v>1</v>
      </c>
      <c r="K166" s="4">
        <f t="shared" si="8"/>
        <v>1</v>
      </c>
      <c r="L166" s="4">
        <f t="shared" si="9"/>
        <v>6</v>
      </c>
      <c r="M166" s="4">
        <v>4.0330285878815761</v>
      </c>
      <c r="N166" s="4">
        <v>179.11843668492361</v>
      </c>
      <c r="O166" s="4">
        <v>382.35644644552741</v>
      </c>
      <c r="X166" s="22">
        <f t="shared" si="10"/>
        <v>318.83230161255096</v>
      </c>
      <c r="Y166" s="2">
        <f t="shared" si="11"/>
        <v>4035.3169767609684</v>
      </c>
    </row>
    <row r="167" spans="1:25">
      <c r="A167" s="2" t="s">
        <v>5</v>
      </c>
      <c r="B167" s="2" t="s">
        <v>13</v>
      </c>
      <c r="C167" s="2">
        <v>8.4599502929434856</v>
      </c>
      <c r="D167" s="2">
        <v>75.716717540192903</v>
      </c>
      <c r="E167" s="2">
        <v>277.8322095632634</v>
      </c>
      <c r="J167" s="4">
        <v>1</v>
      </c>
      <c r="K167" s="4">
        <f t="shared" si="8"/>
        <v>1</v>
      </c>
      <c r="L167" s="4">
        <f t="shared" si="9"/>
        <v>2</v>
      </c>
      <c r="M167" s="4">
        <v>8.4599502929434856</v>
      </c>
      <c r="N167" s="4">
        <v>75.716717540192903</v>
      </c>
      <c r="O167" s="4">
        <v>277.8322095632634</v>
      </c>
      <c r="X167" s="22">
        <f t="shared" si="10"/>
        <v>220.23871240831124</v>
      </c>
      <c r="Y167" s="2">
        <f t="shared" si="11"/>
        <v>3317.0109145374827</v>
      </c>
    </row>
    <row r="168" spans="1:25">
      <c r="A168" s="2" t="s">
        <v>10</v>
      </c>
      <c r="B168" s="2" t="s">
        <v>17</v>
      </c>
      <c r="C168" s="2">
        <v>4.8779877129562532</v>
      </c>
      <c r="D168" s="2">
        <v>39.347351972431518</v>
      </c>
      <c r="E168" s="2">
        <v>105.9992617036776</v>
      </c>
      <c r="J168" s="4">
        <v>1</v>
      </c>
      <c r="K168" s="4">
        <f t="shared" si="8"/>
        <v>6</v>
      </c>
      <c r="L168" s="4">
        <f t="shared" si="9"/>
        <v>6</v>
      </c>
      <c r="M168" s="4">
        <v>4.8779877129562532</v>
      </c>
      <c r="N168" s="4">
        <v>39.347351972431518</v>
      </c>
      <c r="O168" s="4">
        <v>105.9992617036776</v>
      </c>
      <c r="X168" s="22">
        <f t="shared" si="10"/>
        <v>117.9920674295047</v>
      </c>
      <c r="Y168" s="2">
        <f t="shared" si="11"/>
        <v>143.8273891774312</v>
      </c>
    </row>
    <row r="169" spans="1:25">
      <c r="A169" s="2" t="s">
        <v>5</v>
      </c>
      <c r="B169" s="2" t="s">
        <v>14</v>
      </c>
      <c r="C169" s="2">
        <v>3.2384284532886691</v>
      </c>
      <c r="D169" s="2">
        <v>14.835074382092669</v>
      </c>
      <c r="E169" s="2">
        <v>61.761800371578289</v>
      </c>
      <c r="J169" s="4">
        <v>1</v>
      </c>
      <c r="K169" s="4">
        <f t="shared" si="8"/>
        <v>1</v>
      </c>
      <c r="L169" s="4">
        <f t="shared" si="9"/>
        <v>3</v>
      </c>
      <c r="M169" s="4">
        <v>3.2384284532886691</v>
      </c>
      <c r="N169" s="4">
        <v>14.835074382092669</v>
      </c>
      <c r="O169" s="4">
        <v>61.761800371578289</v>
      </c>
      <c r="X169" s="22">
        <f t="shared" si="10"/>
        <v>65.324770991056496</v>
      </c>
      <c r="Y169" s="2">
        <f t="shared" si="11"/>
        <v>12.694759635264921</v>
      </c>
    </row>
    <row r="170" spans="1:25">
      <c r="A170" s="2" t="s">
        <v>8</v>
      </c>
      <c r="B170" s="2" t="s">
        <v>12</v>
      </c>
      <c r="C170" s="2">
        <v>6.5543048794362706</v>
      </c>
      <c r="D170" s="2">
        <v>132.706253394432</v>
      </c>
      <c r="E170" s="2">
        <v>221.3636082261051</v>
      </c>
      <c r="J170" s="4">
        <v>1</v>
      </c>
      <c r="K170" s="4">
        <f t="shared" si="8"/>
        <v>4</v>
      </c>
      <c r="L170" s="4">
        <f t="shared" si="9"/>
        <v>1</v>
      </c>
      <c r="M170" s="4">
        <v>6.5543048794362706</v>
      </c>
      <c r="N170" s="4">
        <v>132.706253394432</v>
      </c>
      <c r="O170" s="4">
        <v>221.3636082261051</v>
      </c>
      <c r="X170" s="22">
        <f t="shared" si="10"/>
        <v>279.48349210049616</v>
      </c>
      <c r="Y170" s="2">
        <f t="shared" si="11"/>
        <v>3377.9209015727024</v>
      </c>
    </row>
    <row r="171" spans="1:25">
      <c r="A171" s="2" t="s">
        <v>11</v>
      </c>
      <c r="B171" s="2" t="s">
        <v>13</v>
      </c>
      <c r="C171" s="2">
        <v>7.3609949519690119</v>
      </c>
      <c r="D171" s="2">
        <v>131.01144031640121</v>
      </c>
      <c r="E171" s="2">
        <v>247.51536010806339</v>
      </c>
      <c r="J171" s="4">
        <v>1</v>
      </c>
      <c r="K171" s="4">
        <f t="shared" si="8"/>
        <v>7</v>
      </c>
      <c r="L171" s="4">
        <f t="shared" si="9"/>
        <v>2</v>
      </c>
      <c r="M171" s="4">
        <v>7.3609949519690119</v>
      </c>
      <c r="N171" s="4">
        <v>131.01144031640121</v>
      </c>
      <c r="O171" s="4">
        <v>247.51536010806339</v>
      </c>
      <c r="X171" s="22">
        <f t="shared" si="10"/>
        <v>284.63989005179866</v>
      </c>
      <c r="Y171" s="2">
        <f t="shared" si="11"/>
        <v>1378.2307235432966</v>
      </c>
    </row>
    <row r="172" spans="1:25">
      <c r="A172" s="2" t="s">
        <v>5</v>
      </c>
      <c r="B172" s="2" t="s">
        <v>12</v>
      </c>
      <c r="C172" s="2">
        <v>2.5033771711085491</v>
      </c>
      <c r="D172" s="2">
        <v>74.71479165044542</v>
      </c>
      <c r="E172" s="2">
        <v>97.415487254141354</v>
      </c>
      <c r="J172" s="4">
        <v>1</v>
      </c>
      <c r="K172" s="4">
        <f t="shared" si="8"/>
        <v>1</v>
      </c>
      <c r="L172" s="4">
        <f t="shared" si="9"/>
        <v>1</v>
      </c>
      <c r="M172" s="4">
        <v>2.5033771711085491</v>
      </c>
      <c r="N172" s="4">
        <v>74.71479165044542</v>
      </c>
      <c r="O172" s="4">
        <v>97.415487254141354</v>
      </c>
      <c r="X172" s="22">
        <f t="shared" si="10"/>
        <v>145.53831720779564</v>
      </c>
      <c r="Y172" s="2">
        <f t="shared" si="11"/>
        <v>2315.8067627483265</v>
      </c>
    </row>
    <row r="173" spans="1:25">
      <c r="A173" s="2" t="s">
        <v>5</v>
      </c>
      <c r="B173" s="2" t="s">
        <v>13</v>
      </c>
      <c r="C173" s="2">
        <v>2.508572946594859</v>
      </c>
      <c r="D173" s="2">
        <v>23.625258881053689</v>
      </c>
      <c r="E173" s="2">
        <v>64.68788697670098</v>
      </c>
      <c r="J173" s="4">
        <v>1</v>
      </c>
      <c r="K173" s="4">
        <f t="shared" si="8"/>
        <v>1</v>
      </c>
      <c r="L173" s="4">
        <f t="shared" si="9"/>
        <v>2</v>
      </c>
      <c r="M173" s="4">
        <v>2.508572946594859</v>
      </c>
      <c r="N173" s="4">
        <v>23.625258881053689</v>
      </c>
      <c r="O173" s="4">
        <v>64.68788697670098</v>
      </c>
      <c r="X173" s="22">
        <f t="shared" si="10"/>
        <v>69.539368070709713</v>
      </c>
      <c r="Y173" s="2">
        <f t="shared" si="11"/>
        <v>23.536868805524172</v>
      </c>
    </row>
    <row r="174" spans="1:25">
      <c r="A174" s="2" t="s">
        <v>9</v>
      </c>
      <c r="B174" s="2" t="s">
        <v>15</v>
      </c>
      <c r="C174" s="2">
        <v>1.3300428424018871</v>
      </c>
      <c r="D174" s="2">
        <v>87.829490030094078</v>
      </c>
      <c r="E174" s="2">
        <v>168.9174583206073</v>
      </c>
      <c r="J174" s="4">
        <v>1</v>
      </c>
      <c r="K174" s="4">
        <f t="shared" si="8"/>
        <v>5</v>
      </c>
      <c r="L174" s="4">
        <f t="shared" si="9"/>
        <v>4</v>
      </c>
      <c r="M174" s="4">
        <v>1.3300428424018871</v>
      </c>
      <c r="N174" s="4">
        <v>87.829490030094078</v>
      </c>
      <c r="O174" s="4">
        <v>168.9174583206073</v>
      </c>
      <c r="X174" s="22">
        <f t="shared" si="10"/>
        <v>147.33564974709037</v>
      </c>
      <c r="Y174" s="2">
        <f t="shared" si="11"/>
        <v>465.7744613039286</v>
      </c>
    </row>
    <row r="175" spans="1:25">
      <c r="A175" s="2" t="s">
        <v>9</v>
      </c>
      <c r="B175" s="2" t="s">
        <v>16</v>
      </c>
      <c r="C175" s="2">
        <v>7.6276181355907644</v>
      </c>
      <c r="D175" s="2">
        <v>69.131324062044783</v>
      </c>
      <c r="E175" s="2">
        <v>164.24878902954501</v>
      </c>
      <c r="J175" s="4">
        <v>1</v>
      </c>
      <c r="K175" s="4">
        <f t="shared" si="8"/>
        <v>5</v>
      </c>
      <c r="L175" s="4">
        <f t="shared" si="9"/>
        <v>5</v>
      </c>
      <c r="M175" s="4">
        <v>7.6276181355907644</v>
      </c>
      <c r="N175" s="4">
        <v>69.131324062044783</v>
      </c>
      <c r="O175" s="4">
        <v>164.24878902954501</v>
      </c>
      <c r="X175" s="22">
        <f t="shared" si="10"/>
        <v>196.95907569973826</v>
      </c>
      <c r="Y175" s="2">
        <f t="shared" si="11"/>
        <v>1069.9628540462227</v>
      </c>
    </row>
    <row r="176" spans="1:25">
      <c r="A176" s="2" t="s">
        <v>6</v>
      </c>
      <c r="B176" s="2" t="s">
        <v>15</v>
      </c>
      <c r="C176" s="2">
        <v>6.9742407485962454</v>
      </c>
      <c r="D176" s="2">
        <v>138.65292154965181</v>
      </c>
      <c r="E176" s="2">
        <v>358.08487104222849</v>
      </c>
      <c r="J176" s="4">
        <v>1</v>
      </c>
      <c r="K176" s="4">
        <f t="shared" si="8"/>
        <v>3</v>
      </c>
      <c r="L176" s="4">
        <f t="shared" si="9"/>
        <v>4</v>
      </c>
      <c r="M176" s="4">
        <v>6.9742407485962454</v>
      </c>
      <c r="N176" s="4">
        <v>138.65292154965181</v>
      </c>
      <c r="O176" s="4">
        <v>358.08487104222849</v>
      </c>
      <c r="X176" s="22">
        <f t="shared" si="10"/>
        <v>293.78093572976377</v>
      </c>
      <c r="Y176" s="2">
        <f t="shared" si="11"/>
        <v>4134.9960966696472</v>
      </c>
    </row>
    <row r="177" spans="1:25">
      <c r="A177" s="2" t="s">
        <v>7</v>
      </c>
      <c r="B177" s="2" t="s">
        <v>17</v>
      </c>
      <c r="C177" s="2">
        <v>5.2716778817483254</v>
      </c>
      <c r="D177" s="2">
        <v>125.0980573960112</v>
      </c>
      <c r="E177" s="2">
        <v>306.46499500442798</v>
      </c>
      <c r="J177" s="4">
        <v>1</v>
      </c>
      <c r="K177" s="4">
        <f t="shared" si="8"/>
        <v>2</v>
      </c>
      <c r="L177" s="4">
        <f t="shared" si="9"/>
        <v>6</v>
      </c>
      <c r="M177" s="4">
        <v>5.2716778817483254</v>
      </c>
      <c r="N177" s="4">
        <v>125.0980573960112</v>
      </c>
      <c r="O177" s="4">
        <v>306.46499500442798</v>
      </c>
      <c r="X177" s="22">
        <f t="shared" si="10"/>
        <v>253.09954964872995</v>
      </c>
      <c r="Y177" s="2">
        <f t="shared" si="11"/>
        <v>2847.8707580119922</v>
      </c>
    </row>
    <row r="178" spans="1:25">
      <c r="A178" s="2" t="s">
        <v>8</v>
      </c>
      <c r="B178" s="2" t="s">
        <v>12</v>
      </c>
      <c r="C178" s="2">
        <v>8.5975340407227741</v>
      </c>
      <c r="D178" s="2">
        <v>79.272808357532597</v>
      </c>
      <c r="E178" s="2">
        <v>301.63627022652219</v>
      </c>
      <c r="J178" s="4">
        <v>1</v>
      </c>
      <c r="K178" s="4">
        <f t="shared" si="8"/>
        <v>4</v>
      </c>
      <c r="L178" s="4">
        <f t="shared" si="9"/>
        <v>1</v>
      </c>
      <c r="M178" s="4">
        <v>8.5975340407227741</v>
      </c>
      <c r="N178" s="4">
        <v>79.272808357532597</v>
      </c>
      <c r="O178" s="4">
        <v>301.63627022652219</v>
      </c>
      <c r="X178" s="22">
        <f t="shared" si="10"/>
        <v>225.23727471336286</v>
      </c>
      <c r="Y178" s="2">
        <f t="shared" si="11"/>
        <v>5836.8065154197384</v>
      </c>
    </row>
    <row r="179" spans="1:25">
      <c r="A179" s="2" t="s">
        <v>5</v>
      </c>
      <c r="B179" s="2" t="s">
        <v>17</v>
      </c>
      <c r="C179" s="2">
        <v>8.251031376550479</v>
      </c>
      <c r="D179" s="2">
        <v>51.399585308448117</v>
      </c>
      <c r="E179" s="2">
        <v>152.3617008020972</v>
      </c>
      <c r="J179" s="4">
        <v>1</v>
      </c>
      <c r="K179" s="4">
        <f t="shared" si="8"/>
        <v>1</v>
      </c>
      <c r="L179" s="4">
        <f t="shared" si="9"/>
        <v>6</v>
      </c>
      <c r="M179" s="4">
        <v>8.251031376550479</v>
      </c>
      <c r="N179" s="4">
        <v>51.399585308448117</v>
      </c>
      <c r="O179" s="4">
        <v>152.3617008020972</v>
      </c>
      <c r="X179" s="22">
        <f t="shared" si="10"/>
        <v>180.97180275208623</v>
      </c>
      <c r="Y179" s="2">
        <f t="shared" si="11"/>
        <v>818.53793358876612</v>
      </c>
    </row>
    <row r="180" spans="1:25">
      <c r="A180" s="2" t="s">
        <v>5</v>
      </c>
      <c r="B180" s="2" t="s">
        <v>16</v>
      </c>
      <c r="C180" s="2">
        <v>6.2681892795707697</v>
      </c>
      <c r="D180" s="2">
        <v>197.72683356956239</v>
      </c>
      <c r="E180" s="2">
        <v>334.24972453209551</v>
      </c>
      <c r="J180" s="4">
        <v>1</v>
      </c>
      <c r="K180" s="4">
        <f t="shared" si="8"/>
        <v>1</v>
      </c>
      <c r="L180" s="4">
        <f t="shared" si="9"/>
        <v>5</v>
      </c>
      <c r="M180" s="4">
        <v>6.2681892795707697</v>
      </c>
      <c r="N180" s="4">
        <v>197.72683356956239</v>
      </c>
      <c r="O180" s="4">
        <v>334.24972453209551</v>
      </c>
      <c r="X180" s="22">
        <f t="shared" si="10"/>
        <v>374.14956415824525</v>
      </c>
      <c r="Y180" s="2">
        <f t="shared" si="11"/>
        <v>1591.9972021924691</v>
      </c>
    </row>
    <row r="181" spans="1:25">
      <c r="A181" s="2" t="s">
        <v>11</v>
      </c>
      <c r="B181" s="2" t="s">
        <v>13</v>
      </c>
      <c r="C181" s="2">
        <v>8.814441524619328</v>
      </c>
      <c r="D181" s="2">
        <v>96.260308027261829</v>
      </c>
      <c r="E181" s="2">
        <v>249.2061065797084</v>
      </c>
      <c r="J181" s="4">
        <v>1</v>
      </c>
      <c r="K181" s="4">
        <f t="shared" si="8"/>
        <v>7</v>
      </c>
      <c r="L181" s="4">
        <f t="shared" si="9"/>
        <v>2</v>
      </c>
      <c r="M181" s="4">
        <v>8.814441524619328</v>
      </c>
      <c r="N181" s="4">
        <v>96.260308027261829</v>
      </c>
      <c r="O181" s="4">
        <v>249.2061065797084</v>
      </c>
      <c r="X181" s="22">
        <f t="shared" si="10"/>
        <v>250.89458863718363</v>
      </c>
      <c r="Y181" s="2">
        <f t="shared" si="11"/>
        <v>2.8509716584157752</v>
      </c>
    </row>
    <row r="182" spans="1:25">
      <c r="A182" s="2" t="s">
        <v>6</v>
      </c>
      <c r="B182" s="2" t="s">
        <v>16</v>
      </c>
      <c r="C182" s="2">
        <v>2.8525708903309139</v>
      </c>
      <c r="D182" s="2">
        <v>140.77210479824501</v>
      </c>
      <c r="E182" s="2">
        <v>210.75218105844201</v>
      </c>
      <c r="J182" s="4">
        <v>1</v>
      </c>
      <c r="K182" s="4">
        <f t="shared" si="8"/>
        <v>3</v>
      </c>
      <c r="L182" s="4">
        <f t="shared" si="9"/>
        <v>5</v>
      </c>
      <c r="M182" s="4">
        <v>2.8525708903309139</v>
      </c>
      <c r="N182" s="4">
        <v>140.77210479824501</v>
      </c>
      <c r="O182" s="4">
        <v>210.75218105844201</v>
      </c>
      <c r="X182" s="22">
        <f t="shared" si="10"/>
        <v>246.03585229550245</v>
      </c>
      <c r="Y182" s="2">
        <f t="shared" si="11"/>
        <v>1244.9374559649666</v>
      </c>
    </row>
    <row r="183" spans="1:25">
      <c r="A183" s="2" t="s">
        <v>7</v>
      </c>
      <c r="B183" s="2" t="s">
        <v>14</v>
      </c>
      <c r="C183" s="2">
        <v>2.0072765745795511</v>
      </c>
      <c r="D183" s="2">
        <v>36.705063839888552</v>
      </c>
      <c r="E183" s="2">
        <v>53.109356215770227</v>
      </c>
      <c r="J183" s="4">
        <v>1</v>
      </c>
      <c r="K183" s="4">
        <f t="shared" si="8"/>
        <v>2</v>
      </c>
      <c r="L183" s="4">
        <f t="shared" si="9"/>
        <v>3</v>
      </c>
      <c r="M183" s="4">
        <v>2.0072765745795511</v>
      </c>
      <c r="N183" s="4">
        <v>36.705063839888552</v>
      </c>
      <c r="O183" s="4">
        <v>53.109356215770227</v>
      </c>
      <c r="X183" s="22">
        <f t="shared" si="10"/>
        <v>81.958384574409479</v>
      </c>
      <c r="Y183" s="2">
        <f t="shared" si="11"/>
        <v>832.26643723757184</v>
      </c>
    </row>
    <row r="184" spans="1:25">
      <c r="A184" s="2" t="s">
        <v>6</v>
      </c>
      <c r="B184" s="2" t="s">
        <v>16</v>
      </c>
      <c r="C184" s="2">
        <v>3.427746503652906</v>
      </c>
      <c r="D184" s="2">
        <v>102.26204293528561</v>
      </c>
      <c r="E184" s="2">
        <v>174.01070647221209</v>
      </c>
      <c r="J184" s="4">
        <v>1</v>
      </c>
      <c r="K184" s="4">
        <f t="shared" si="8"/>
        <v>3</v>
      </c>
      <c r="L184" s="4">
        <f t="shared" si="9"/>
        <v>5</v>
      </c>
      <c r="M184" s="4">
        <v>3.427746503652906</v>
      </c>
      <c r="N184" s="4">
        <v>102.26204293528561</v>
      </c>
      <c r="O184" s="4">
        <v>174.01070647221209</v>
      </c>
      <c r="X184" s="22">
        <f t="shared" si="10"/>
        <v>195.88920298136537</v>
      </c>
      <c r="Y184" s="2">
        <f t="shared" si="11"/>
        <v>478.66860950103222</v>
      </c>
    </row>
    <row r="185" spans="1:25">
      <c r="A185" s="2" t="s">
        <v>10</v>
      </c>
      <c r="B185" s="2" t="s">
        <v>14</v>
      </c>
      <c r="C185" s="2">
        <v>1.513781704803834</v>
      </c>
      <c r="D185" s="2">
        <v>15.23197677519844</v>
      </c>
      <c r="E185" s="2">
        <v>26.503149872267361</v>
      </c>
      <c r="J185" s="4">
        <v>1</v>
      </c>
      <c r="K185" s="4">
        <f t="shared" si="8"/>
        <v>6</v>
      </c>
      <c r="L185" s="4">
        <f t="shared" si="9"/>
        <v>3</v>
      </c>
      <c r="M185" s="4">
        <v>1.513781704803834</v>
      </c>
      <c r="N185" s="4">
        <v>15.23197677519844</v>
      </c>
      <c r="O185" s="4">
        <v>26.503149872267361</v>
      </c>
      <c r="X185" s="22">
        <f t="shared" si="10"/>
        <v>41.144339520818548</v>
      </c>
      <c r="Y185" s="2">
        <f t="shared" si="11"/>
        <v>214.36443432484242</v>
      </c>
    </row>
    <row r="186" spans="1:25">
      <c r="A186" s="2" t="s">
        <v>7</v>
      </c>
      <c r="B186" s="2" t="s">
        <v>16</v>
      </c>
      <c r="C186" s="2">
        <v>5.7805257520092876</v>
      </c>
      <c r="D186" s="2">
        <v>106.0364724029855</v>
      </c>
      <c r="E186" s="2">
        <v>232.46651355919781</v>
      </c>
      <c r="J186" s="4">
        <v>1</v>
      </c>
      <c r="K186" s="4">
        <f t="shared" si="8"/>
        <v>2</v>
      </c>
      <c r="L186" s="4">
        <f t="shared" si="9"/>
        <v>5</v>
      </c>
      <c r="M186" s="4">
        <v>5.7805257520092876</v>
      </c>
      <c r="N186" s="4">
        <v>106.0364724029855</v>
      </c>
      <c r="O186" s="4">
        <v>232.46651355919781</v>
      </c>
      <c r="X186" s="22">
        <f t="shared" si="10"/>
        <v>231.1775356711166</v>
      </c>
      <c r="Y186" s="2">
        <f t="shared" si="11"/>
        <v>1.6614639959622859</v>
      </c>
    </row>
    <row r="187" spans="1:25">
      <c r="A187" s="2" t="s">
        <v>5</v>
      </c>
      <c r="B187" s="2" t="s">
        <v>14</v>
      </c>
      <c r="C187" s="2">
        <v>9.429451230654653</v>
      </c>
      <c r="D187" s="2">
        <v>193.1633073523634</v>
      </c>
      <c r="E187" s="2">
        <v>424.2852982044131</v>
      </c>
      <c r="J187" s="4">
        <v>1</v>
      </c>
      <c r="K187" s="4">
        <f t="shared" si="8"/>
        <v>1</v>
      </c>
      <c r="L187" s="4">
        <f t="shared" si="9"/>
        <v>3</v>
      </c>
      <c r="M187" s="4">
        <v>9.429451230654653</v>
      </c>
      <c r="N187" s="4">
        <v>193.1633073523634</v>
      </c>
      <c r="O187" s="4">
        <v>424.2852982044131</v>
      </c>
      <c r="X187" s="22">
        <f t="shared" si="10"/>
        <v>406.57462726851247</v>
      </c>
      <c r="Y187" s="2">
        <f t="shared" si="11"/>
        <v>313.66786499975507</v>
      </c>
    </row>
    <row r="188" spans="1:25">
      <c r="A188" s="2" t="s">
        <v>5</v>
      </c>
      <c r="B188" s="2" t="s">
        <v>12</v>
      </c>
      <c r="C188" s="2">
        <v>1.354091866016587</v>
      </c>
      <c r="D188" s="2">
        <v>82.999275467302041</v>
      </c>
      <c r="E188" s="2">
        <v>137.98615256452311</v>
      </c>
      <c r="J188" s="4">
        <v>1</v>
      </c>
      <c r="K188" s="4">
        <f t="shared" si="8"/>
        <v>1</v>
      </c>
      <c r="L188" s="4">
        <f t="shared" si="9"/>
        <v>1</v>
      </c>
      <c r="M188" s="4">
        <v>1.354091866016587</v>
      </c>
      <c r="N188" s="4">
        <v>82.999275467302041</v>
      </c>
      <c r="O188" s="4">
        <v>137.98615256452311</v>
      </c>
      <c r="X188" s="22">
        <f t="shared" si="10"/>
        <v>143.69725616475512</v>
      </c>
      <c r="Y188" s="2">
        <f t="shared" si="11"/>
        <v>32.616704332582998</v>
      </c>
    </row>
    <row r="189" spans="1:25">
      <c r="A189" s="2" t="s">
        <v>7</v>
      </c>
      <c r="B189" s="2" t="s">
        <v>17</v>
      </c>
      <c r="C189" s="2">
        <v>2.0989892260902412</v>
      </c>
      <c r="D189" s="2">
        <v>17.409242389233199</v>
      </c>
      <c r="E189" s="2">
        <v>48.347459853517712</v>
      </c>
      <c r="J189" s="4">
        <v>1</v>
      </c>
      <c r="K189" s="4">
        <f t="shared" si="8"/>
        <v>2</v>
      </c>
      <c r="L189" s="4">
        <f t="shared" si="9"/>
        <v>6</v>
      </c>
      <c r="M189" s="4">
        <v>2.0989892260902412</v>
      </c>
      <c r="N189" s="4">
        <v>17.409242389233199</v>
      </c>
      <c r="O189" s="4">
        <v>48.347459853517712</v>
      </c>
      <c r="X189" s="22">
        <f t="shared" si="10"/>
        <v>53.994836141207273</v>
      </c>
      <c r="Y189" s="2">
        <f t="shared" si="11"/>
        <v>31.892858934758323</v>
      </c>
    </row>
    <row r="190" spans="1:25">
      <c r="A190" s="2" t="s">
        <v>5</v>
      </c>
      <c r="B190" s="2" t="s">
        <v>17</v>
      </c>
      <c r="C190" s="2">
        <v>5.0697912545509176</v>
      </c>
      <c r="D190" s="2">
        <v>15.88160027467527</v>
      </c>
      <c r="E190" s="2">
        <v>66.23082691811392</v>
      </c>
      <c r="J190" s="4">
        <v>1</v>
      </c>
      <c r="K190" s="4">
        <f t="shared" si="8"/>
        <v>1</v>
      </c>
      <c r="L190" s="4">
        <f t="shared" si="9"/>
        <v>6</v>
      </c>
      <c r="M190" s="4">
        <v>5.0697912545509176</v>
      </c>
      <c r="N190" s="4">
        <v>15.88160027467527</v>
      </c>
      <c r="O190" s="4">
        <v>66.23082691811392</v>
      </c>
      <c r="X190" s="22">
        <f t="shared" si="10"/>
        <v>89.014278705113838</v>
      </c>
      <c r="Y190" s="2">
        <f t="shared" si="11"/>
        <v>519.08567533054975</v>
      </c>
    </row>
    <row r="191" spans="1:25">
      <c r="A191" s="2" t="s">
        <v>8</v>
      </c>
      <c r="B191" s="2" t="s">
        <v>15</v>
      </c>
      <c r="C191" s="2">
        <v>9.4048751577511442</v>
      </c>
      <c r="D191" s="2">
        <v>83.717484389905209</v>
      </c>
      <c r="E191" s="2">
        <v>168.5323393176478</v>
      </c>
      <c r="J191" s="4">
        <v>1</v>
      </c>
      <c r="K191" s="4">
        <f t="shared" si="8"/>
        <v>4</v>
      </c>
      <c r="L191" s="4">
        <f t="shared" si="9"/>
        <v>4</v>
      </c>
      <c r="M191" s="4">
        <v>9.4048751577511442</v>
      </c>
      <c r="N191" s="4">
        <v>83.717484389905209</v>
      </c>
      <c r="O191" s="4">
        <v>168.5323393176478</v>
      </c>
      <c r="X191" s="22">
        <f t="shared" si="10"/>
        <v>241.36670525381601</v>
      </c>
      <c r="Y191" s="2">
        <f t="shared" si="11"/>
        <v>5304.8448613236606</v>
      </c>
    </row>
    <row r="192" spans="1:25">
      <c r="A192" s="2" t="s">
        <v>7</v>
      </c>
      <c r="B192" s="2" t="s">
        <v>17</v>
      </c>
      <c r="C192" s="2">
        <v>3.8454049447907539</v>
      </c>
      <c r="D192" s="2">
        <v>40.404737928006867</v>
      </c>
      <c r="E192" s="2">
        <v>74.039367197052073</v>
      </c>
      <c r="J192" s="4">
        <v>1</v>
      </c>
      <c r="K192" s="4">
        <f t="shared" si="8"/>
        <v>2</v>
      </c>
      <c r="L192" s="4">
        <f t="shared" si="9"/>
        <v>6</v>
      </c>
      <c r="M192" s="4">
        <v>3.8454049447907539</v>
      </c>
      <c r="N192" s="4">
        <v>40.404737928006867</v>
      </c>
      <c r="O192" s="4">
        <v>74.039367197052073</v>
      </c>
      <c r="X192" s="22">
        <f t="shared" si="10"/>
        <v>109.6740274269761</v>
      </c>
      <c r="Y192" s="2">
        <f t="shared" si="11"/>
        <v>1269.8290097021288</v>
      </c>
    </row>
    <row r="193" spans="1:25">
      <c r="A193" s="2" t="s">
        <v>6</v>
      </c>
      <c r="B193" s="2" t="s">
        <v>13</v>
      </c>
      <c r="C193" s="2">
        <v>5.5651132781955317</v>
      </c>
      <c r="D193" s="2">
        <v>14.436898302355321</v>
      </c>
      <c r="E193" s="2">
        <v>139.7360029191338</v>
      </c>
      <c r="J193" s="4">
        <v>1</v>
      </c>
      <c r="K193" s="4">
        <f t="shared" si="8"/>
        <v>3</v>
      </c>
      <c r="L193" s="4">
        <f t="shared" si="9"/>
        <v>2</v>
      </c>
      <c r="M193" s="4">
        <v>5.5651132781955317</v>
      </c>
      <c r="N193" s="4">
        <v>14.436898302355321</v>
      </c>
      <c r="O193" s="4">
        <v>139.7360029191338</v>
      </c>
      <c r="X193" s="22">
        <f t="shared" si="10"/>
        <v>92.110540991421132</v>
      </c>
      <c r="Y193" s="2">
        <f t="shared" si="11"/>
        <v>2268.1846238280086</v>
      </c>
    </row>
    <row r="194" spans="1:25">
      <c r="A194" s="2" t="s">
        <v>7</v>
      </c>
      <c r="B194" s="2" t="s">
        <v>16</v>
      </c>
      <c r="C194" s="2">
        <v>1.3741557314535291</v>
      </c>
      <c r="D194" s="2">
        <v>153.6805866505336</v>
      </c>
      <c r="E194" s="2">
        <v>284.89887806923491</v>
      </c>
      <c r="J194" s="4">
        <v>1</v>
      </c>
      <c r="K194" s="4">
        <f t="shared" si="8"/>
        <v>2</v>
      </c>
      <c r="L194" s="4">
        <f t="shared" si="9"/>
        <v>5</v>
      </c>
      <c r="M194" s="4">
        <v>1.3741557314535291</v>
      </c>
      <c r="N194" s="4">
        <v>153.6805866505336</v>
      </c>
      <c r="O194" s="4">
        <v>284.89887806923491</v>
      </c>
      <c r="X194" s="22">
        <f t="shared" si="10"/>
        <v>247.72000914540513</v>
      </c>
      <c r="Y194" s="2">
        <f t="shared" si="11"/>
        <v>1382.268294455316</v>
      </c>
    </row>
    <row r="195" spans="1:25">
      <c r="A195" s="2" t="s">
        <v>5</v>
      </c>
      <c r="B195" s="2" t="s">
        <v>15</v>
      </c>
      <c r="C195" s="2">
        <v>2.3350888086588002</v>
      </c>
      <c r="D195" s="2">
        <v>97.119371687559223</v>
      </c>
      <c r="E195" s="2">
        <v>166.84903818319759</v>
      </c>
      <c r="J195" s="4">
        <v>1</v>
      </c>
      <c r="K195" s="4">
        <f t="shared" si="8"/>
        <v>1</v>
      </c>
      <c r="L195" s="4">
        <f t="shared" si="9"/>
        <v>4</v>
      </c>
      <c r="M195" s="4">
        <v>2.3350888086588002</v>
      </c>
      <c r="N195" s="4">
        <v>97.119371687559223</v>
      </c>
      <c r="O195" s="4">
        <v>166.84903818319759</v>
      </c>
      <c r="X195" s="22">
        <f t="shared" si="10"/>
        <v>176.34368958488176</v>
      </c>
      <c r="Y195" s="2">
        <f t="shared" si="11"/>
        <v>90.148405239503106</v>
      </c>
    </row>
    <row r="196" spans="1:25">
      <c r="A196" s="2" t="s">
        <v>8</v>
      </c>
      <c r="B196" s="2" t="s">
        <v>13</v>
      </c>
      <c r="C196" s="2">
        <v>9.8796711066296226</v>
      </c>
      <c r="D196" s="2">
        <v>64.956506674804359</v>
      </c>
      <c r="E196" s="2">
        <v>222.74824702973299</v>
      </c>
      <c r="J196" s="4">
        <v>1</v>
      </c>
      <c r="K196" s="4">
        <f t="shared" ref="K196:K259" si="12">VLOOKUP(A196, $F$3:$G$9, 2, FALSE)</f>
        <v>4</v>
      </c>
      <c r="L196" s="4">
        <f t="shared" ref="L196:L259" si="13">VLOOKUP(B196, $H$3:$I$8, 2, FALSE)</f>
        <v>2</v>
      </c>
      <c r="M196" s="4">
        <v>9.8796711066296226</v>
      </c>
      <c r="N196" s="4">
        <v>64.956506674804359</v>
      </c>
      <c r="O196" s="4">
        <v>222.74824702973299</v>
      </c>
      <c r="X196" s="22">
        <f t="shared" ref="X196:X259" si="14">$U$16+$U$17*K196+$U$18*L196+$U$19*M196+$U$20*N196</f>
        <v>219.61128245833049</v>
      </c>
      <c r="Y196" s="2">
        <f t="shared" ref="Y196:Y259" si="15">POWER(O196-X196,2)</f>
        <v>9.8405467222344782</v>
      </c>
    </row>
    <row r="197" spans="1:25">
      <c r="A197" s="2" t="s">
        <v>8</v>
      </c>
      <c r="B197" s="2" t="s">
        <v>13</v>
      </c>
      <c r="C197" s="2">
        <v>9.6860682679244103</v>
      </c>
      <c r="D197" s="2">
        <v>181.01580477313129</v>
      </c>
      <c r="E197" s="2">
        <v>394.27756224310878</v>
      </c>
      <c r="J197" s="4">
        <v>1</v>
      </c>
      <c r="K197" s="4">
        <f t="shared" si="12"/>
        <v>4</v>
      </c>
      <c r="L197" s="4">
        <f t="shared" si="13"/>
        <v>2</v>
      </c>
      <c r="M197" s="4">
        <v>9.6860682679244103</v>
      </c>
      <c r="N197" s="4">
        <v>181.01580477313129</v>
      </c>
      <c r="O197" s="4">
        <v>394.27756224310878</v>
      </c>
      <c r="X197" s="22">
        <f t="shared" si="14"/>
        <v>389.70200839170735</v>
      </c>
      <c r="Y197" s="2">
        <f t="shared" si="15"/>
        <v>20.935693047074398</v>
      </c>
    </row>
    <row r="198" spans="1:25">
      <c r="A198" s="2" t="s">
        <v>10</v>
      </c>
      <c r="B198" s="2" t="s">
        <v>14</v>
      </c>
      <c r="C198" s="2">
        <v>1.044459828409686</v>
      </c>
      <c r="D198" s="2">
        <v>32.066402438099857</v>
      </c>
      <c r="E198" s="2">
        <v>73.822301572031392</v>
      </c>
      <c r="J198" s="4">
        <v>1</v>
      </c>
      <c r="K198" s="4">
        <f t="shared" si="12"/>
        <v>6</v>
      </c>
      <c r="L198" s="4">
        <f t="shared" si="13"/>
        <v>3</v>
      </c>
      <c r="M198" s="4">
        <v>1.044459828409686</v>
      </c>
      <c r="N198" s="4">
        <v>32.066402438099857</v>
      </c>
      <c r="O198" s="4">
        <v>73.822301572031392</v>
      </c>
      <c r="X198" s="22">
        <f t="shared" si="14"/>
        <v>60.38250645148775</v>
      </c>
      <c r="Y198" s="2">
        <f t="shared" si="15"/>
        <v>180.6280928821887</v>
      </c>
    </row>
    <row r="199" spans="1:25">
      <c r="A199" s="2" t="s">
        <v>6</v>
      </c>
      <c r="B199" s="2" t="s">
        <v>17</v>
      </c>
      <c r="C199" s="2">
        <v>9.5663060688091512</v>
      </c>
      <c r="D199" s="2">
        <v>191.62457750151069</v>
      </c>
      <c r="E199" s="2">
        <v>361.50516839649339</v>
      </c>
      <c r="J199" s="4">
        <v>1</v>
      </c>
      <c r="K199" s="4">
        <f t="shared" si="12"/>
        <v>3</v>
      </c>
      <c r="L199" s="4">
        <f t="shared" si="13"/>
        <v>6</v>
      </c>
      <c r="M199" s="4">
        <v>9.5663060688091512</v>
      </c>
      <c r="N199" s="4">
        <v>191.62457750151069</v>
      </c>
      <c r="O199" s="4">
        <v>361.50516839649339</v>
      </c>
      <c r="X199" s="22">
        <f t="shared" si="14"/>
        <v>404.14261660662686</v>
      </c>
      <c r="Y199" s="2">
        <f t="shared" si="15"/>
        <v>1817.9519898718138</v>
      </c>
    </row>
    <row r="200" spans="1:25">
      <c r="A200" s="2" t="s">
        <v>9</v>
      </c>
      <c r="B200" s="2" t="s">
        <v>12</v>
      </c>
      <c r="C200" s="2">
        <v>6.7520794403395037</v>
      </c>
      <c r="D200" s="2">
        <v>69.653676301697033</v>
      </c>
      <c r="E200" s="2">
        <v>153.9338148258494</v>
      </c>
      <c r="J200" s="4">
        <v>1</v>
      </c>
      <c r="K200" s="4">
        <f t="shared" si="12"/>
        <v>5</v>
      </c>
      <c r="L200" s="4">
        <f t="shared" si="13"/>
        <v>1</v>
      </c>
      <c r="M200" s="4">
        <v>6.7520794403395037</v>
      </c>
      <c r="N200" s="4">
        <v>69.653676301697033</v>
      </c>
      <c r="O200" s="4">
        <v>153.9338148258494</v>
      </c>
      <c r="X200" s="22">
        <f t="shared" si="14"/>
        <v>187.5104897710508</v>
      </c>
      <c r="Y200" s="2">
        <f t="shared" si="15"/>
        <v>1127.3931003757157</v>
      </c>
    </row>
    <row r="201" spans="1:25">
      <c r="A201" s="2" t="s">
        <v>9</v>
      </c>
      <c r="B201" s="2" t="s">
        <v>12</v>
      </c>
      <c r="C201" s="2">
        <v>8.811264650680199</v>
      </c>
      <c r="D201" s="2">
        <v>178.79669773864941</v>
      </c>
      <c r="E201" s="2">
        <v>435.59160254130501</v>
      </c>
      <c r="J201" s="4">
        <v>1</v>
      </c>
      <c r="K201" s="4">
        <f t="shared" si="12"/>
        <v>5</v>
      </c>
      <c r="L201" s="4">
        <f t="shared" si="13"/>
        <v>1</v>
      </c>
      <c r="M201" s="4">
        <v>8.811264650680199</v>
      </c>
      <c r="N201" s="4">
        <v>178.79669773864941</v>
      </c>
      <c r="O201" s="4">
        <v>435.59160254130501</v>
      </c>
      <c r="X201" s="22">
        <f t="shared" si="14"/>
        <v>375.06434768043897</v>
      </c>
      <c r="Y201" s="2">
        <f t="shared" si="15"/>
        <v>3663.5485809922311</v>
      </c>
    </row>
    <row r="202" spans="1:25">
      <c r="A202" s="2" t="s">
        <v>7</v>
      </c>
      <c r="B202" s="2" t="s">
        <v>15</v>
      </c>
      <c r="C202" s="2">
        <v>5.0926587007047317</v>
      </c>
      <c r="D202" s="2">
        <v>124.5591465310977</v>
      </c>
      <c r="E202" s="2">
        <v>252.0706312766543</v>
      </c>
      <c r="J202" s="4">
        <v>1</v>
      </c>
      <c r="K202" s="4">
        <f t="shared" si="12"/>
        <v>2</v>
      </c>
      <c r="L202" s="4">
        <f t="shared" si="13"/>
        <v>4</v>
      </c>
      <c r="M202" s="4">
        <v>5.0926587007047317</v>
      </c>
      <c r="N202" s="4">
        <v>124.5591465310977</v>
      </c>
      <c r="O202" s="4">
        <v>252.0706312766543</v>
      </c>
      <c r="X202" s="22">
        <f t="shared" si="14"/>
        <v>250.3725634797899</v>
      </c>
      <c r="Y202" s="2">
        <f t="shared" si="15"/>
        <v>2.8834342427478941</v>
      </c>
    </row>
    <row r="203" spans="1:25">
      <c r="A203" s="2" t="s">
        <v>10</v>
      </c>
      <c r="B203" s="2" t="s">
        <v>12</v>
      </c>
      <c r="C203" s="2">
        <v>5.6403642572132524</v>
      </c>
      <c r="D203" s="2">
        <v>167.0743983508826</v>
      </c>
      <c r="E203" s="2">
        <v>375.976565527567</v>
      </c>
      <c r="J203" s="4">
        <v>1</v>
      </c>
      <c r="K203" s="4">
        <f t="shared" si="12"/>
        <v>6</v>
      </c>
      <c r="L203" s="4">
        <f t="shared" si="13"/>
        <v>1</v>
      </c>
      <c r="M203" s="4">
        <v>5.6403642572132524</v>
      </c>
      <c r="N203" s="4">
        <v>167.0743983508826</v>
      </c>
      <c r="O203" s="4">
        <v>375.976565527567</v>
      </c>
      <c r="X203" s="22">
        <f t="shared" si="14"/>
        <v>317.89021507642013</v>
      </c>
      <c r="Y203" s="2">
        <f t="shared" si="15"/>
        <v>3374.0241087334502</v>
      </c>
    </row>
    <row r="204" spans="1:25">
      <c r="A204" s="2" t="s">
        <v>11</v>
      </c>
      <c r="B204" s="2" t="s">
        <v>16</v>
      </c>
      <c r="C204" s="2">
        <v>5.3996192223122819</v>
      </c>
      <c r="D204" s="2">
        <v>196.96250100998819</v>
      </c>
      <c r="E204" s="2">
        <v>400.81438126996818</v>
      </c>
      <c r="J204" s="4">
        <v>1</v>
      </c>
      <c r="K204" s="4">
        <f t="shared" si="12"/>
        <v>7</v>
      </c>
      <c r="L204" s="4">
        <f t="shared" si="13"/>
        <v>5</v>
      </c>
      <c r="M204" s="4">
        <v>5.3996192223122819</v>
      </c>
      <c r="N204" s="4">
        <v>196.96250100998819</v>
      </c>
      <c r="O204" s="4">
        <v>400.81438126996818</v>
      </c>
      <c r="X204" s="22">
        <f t="shared" si="14"/>
        <v>358.07884516491322</v>
      </c>
      <c r="Y204" s="2">
        <f t="shared" si="15"/>
        <v>1826.3260461864563</v>
      </c>
    </row>
    <row r="205" spans="1:25">
      <c r="A205" s="2" t="s">
        <v>7</v>
      </c>
      <c r="B205" s="2" t="s">
        <v>12</v>
      </c>
      <c r="C205" s="2">
        <v>7.0017783179149387</v>
      </c>
      <c r="D205" s="2">
        <v>64.797033185561688</v>
      </c>
      <c r="E205" s="2">
        <v>230.0837207114248</v>
      </c>
      <c r="J205" s="4">
        <v>1</v>
      </c>
      <c r="K205" s="4">
        <f t="shared" si="12"/>
        <v>2</v>
      </c>
      <c r="L205" s="4">
        <f t="shared" si="13"/>
        <v>1</v>
      </c>
      <c r="M205" s="4">
        <v>7.0017783179149387</v>
      </c>
      <c r="N205" s="4">
        <v>64.797033185561688</v>
      </c>
      <c r="O205" s="4">
        <v>230.0837207114248</v>
      </c>
      <c r="X205" s="22">
        <f t="shared" si="14"/>
        <v>185.48745969637747</v>
      </c>
      <c r="Y205" s="2">
        <f t="shared" si="15"/>
        <v>1988.8264965222306</v>
      </c>
    </row>
    <row r="206" spans="1:25">
      <c r="A206" s="2" t="s">
        <v>10</v>
      </c>
      <c r="B206" s="2" t="s">
        <v>15</v>
      </c>
      <c r="C206" s="2">
        <v>2.2568612928068159</v>
      </c>
      <c r="D206" s="2">
        <v>192.61574222744269</v>
      </c>
      <c r="E206" s="2">
        <v>349.42139709341319</v>
      </c>
      <c r="J206" s="4">
        <v>1</v>
      </c>
      <c r="K206" s="4">
        <f t="shared" si="12"/>
        <v>6</v>
      </c>
      <c r="L206" s="4">
        <f t="shared" si="13"/>
        <v>4</v>
      </c>
      <c r="M206" s="4">
        <v>2.2568612928068159</v>
      </c>
      <c r="N206" s="4">
        <v>192.61574222744269</v>
      </c>
      <c r="O206" s="4">
        <v>349.42139709341319</v>
      </c>
      <c r="X206" s="22">
        <f t="shared" si="14"/>
        <v>313.76420744321268</v>
      </c>
      <c r="Y206" s="2">
        <f t="shared" si="15"/>
        <v>1271.4351737503662</v>
      </c>
    </row>
    <row r="207" spans="1:25">
      <c r="A207" s="2" t="s">
        <v>6</v>
      </c>
      <c r="B207" s="2" t="s">
        <v>12</v>
      </c>
      <c r="C207" s="2">
        <v>1.269762308854101</v>
      </c>
      <c r="D207" s="2">
        <v>84.001560031459874</v>
      </c>
      <c r="E207" s="2">
        <v>112.453418788137</v>
      </c>
      <c r="J207" s="4">
        <v>1</v>
      </c>
      <c r="K207" s="4">
        <f t="shared" si="12"/>
        <v>3</v>
      </c>
      <c r="L207" s="4">
        <f t="shared" si="13"/>
        <v>1</v>
      </c>
      <c r="M207" s="4">
        <v>1.269762308854101</v>
      </c>
      <c r="N207" s="4">
        <v>84.001560031459874</v>
      </c>
      <c r="O207" s="4">
        <v>112.453418788137</v>
      </c>
      <c r="X207" s="22">
        <f t="shared" si="14"/>
        <v>142.73526383459583</v>
      </c>
      <c r="Y207" s="2">
        <f t="shared" si="15"/>
        <v>916.99013941774297</v>
      </c>
    </row>
    <row r="208" spans="1:25">
      <c r="A208" s="2" t="s">
        <v>6</v>
      </c>
      <c r="B208" s="2" t="s">
        <v>16</v>
      </c>
      <c r="C208" s="2">
        <v>3.7713694743207178</v>
      </c>
      <c r="D208" s="2">
        <v>83.247261900015246</v>
      </c>
      <c r="E208" s="2">
        <v>149.15308234996189</v>
      </c>
      <c r="J208" s="4">
        <v>1</v>
      </c>
      <c r="K208" s="4">
        <f t="shared" si="12"/>
        <v>3</v>
      </c>
      <c r="L208" s="4">
        <f t="shared" si="13"/>
        <v>5</v>
      </c>
      <c r="M208" s="4">
        <v>3.7713694743207178</v>
      </c>
      <c r="N208" s="4">
        <v>83.247261900015246</v>
      </c>
      <c r="O208" s="4">
        <v>149.15308234996189</v>
      </c>
      <c r="X208" s="22">
        <f t="shared" si="14"/>
        <v>171.86294180699733</v>
      </c>
      <c r="Y208" s="2">
        <f t="shared" si="15"/>
        <v>515.73771655830183</v>
      </c>
    </row>
    <row r="209" spans="1:25">
      <c r="A209" s="2" t="s">
        <v>6</v>
      </c>
      <c r="B209" s="2" t="s">
        <v>14</v>
      </c>
      <c r="C209" s="2">
        <v>7.3421268646298206</v>
      </c>
      <c r="D209" s="2">
        <v>74.673549808356086</v>
      </c>
      <c r="E209" s="2">
        <v>239.40492139130609</v>
      </c>
      <c r="J209" s="4">
        <v>1</v>
      </c>
      <c r="K209" s="4">
        <f t="shared" si="12"/>
        <v>3</v>
      </c>
      <c r="L209" s="4">
        <f t="shared" si="13"/>
        <v>3</v>
      </c>
      <c r="M209" s="4">
        <v>7.3421268646298206</v>
      </c>
      <c r="N209" s="4">
        <v>74.673549808356086</v>
      </c>
      <c r="O209" s="4">
        <v>239.40492139130609</v>
      </c>
      <c r="X209" s="22">
        <f t="shared" si="14"/>
        <v>203.37112169745632</v>
      </c>
      <c r="Y209" s="2">
        <f t="shared" si="15"/>
        <v>1298.434720376488</v>
      </c>
    </row>
    <row r="210" spans="1:25">
      <c r="A210" s="2" t="s">
        <v>6</v>
      </c>
      <c r="B210" s="2" t="s">
        <v>15</v>
      </c>
      <c r="C210" s="2">
        <v>2.8166810691065352</v>
      </c>
      <c r="D210" s="2">
        <v>112.86744539604121</v>
      </c>
      <c r="E210" s="2">
        <v>240.87419414615891</v>
      </c>
      <c r="J210" s="4">
        <v>1</v>
      </c>
      <c r="K210" s="4">
        <f t="shared" si="12"/>
        <v>3</v>
      </c>
      <c r="L210" s="4">
        <f t="shared" si="13"/>
        <v>4</v>
      </c>
      <c r="M210" s="4">
        <v>2.8166810691065352</v>
      </c>
      <c r="N210" s="4">
        <v>112.86744539604121</v>
      </c>
      <c r="O210" s="4">
        <v>240.87419414615891</v>
      </c>
      <c r="X210" s="22">
        <f t="shared" si="14"/>
        <v>204.26418953210145</v>
      </c>
      <c r="Y210" s="2">
        <f t="shared" si="15"/>
        <v>1340.2924378413084</v>
      </c>
    </row>
    <row r="211" spans="1:25">
      <c r="A211" s="2" t="s">
        <v>6</v>
      </c>
      <c r="B211" s="2" t="s">
        <v>14</v>
      </c>
      <c r="C211" s="2">
        <v>7.0608918999242558</v>
      </c>
      <c r="D211" s="2">
        <v>39.287558203912553</v>
      </c>
      <c r="E211" s="2">
        <v>118.30460254336199</v>
      </c>
      <c r="J211" s="4">
        <v>1</v>
      </c>
      <c r="K211" s="4">
        <f t="shared" si="12"/>
        <v>3</v>
      </c>
      <c r="L211" s="4">
        <f t="shared" si="13"/>
        <v>3</v>
      </c>
      <c r="M211" s="4">
        <v>7.0608918999242558</v>
      </c>
      <c r="N211" s="4">
        <v>39.287558203912553</v>
      </c>
      <c r="O211" s="4">
        <v>118.30460254336199</v>
      </c>
      <c r="X211" s="22">
        <f t="shared" si="14"/>
        <v>147.32108939500611</v>
      </c>
      <c r="Y211" s="2">
        <f t="shared" si="15"/>
        <v>841.95650921163599</v>
      </c>
    </row>
    <row r="212" spans="1:25">
      <c r="A212" s="2" t="s">
        <v>10</v>
      </c>
      <c r="B212" s="2" t="s">
        <v>14</v>
      </c>
      <c r="C212" s="2">
        <v>9.7292084149654343</v>
      </c>
      <c r="D212" s="2">
        <v>115.2051822180221</v>
      </c>
      <c r="E212" s="2">
        <v>329.66930463574278</v>
      </c>
      <c r="J212" s="4">
        <v>1</v>
      </c>
      <c r="K212" s="4">
        <f t="shared" si="12"/>
        <v>6</v>
      </c>
      <c r="L212" s="4">
        <f t="shared" si="13"/>
        <v>3</v>
      </c>
      <c r="M212" s="4">
        <v>9.7292084149654343</v>
      </c>
      <c r="N212" s="4">
        <v>115.2051822180221</v>
      </c>
      <c r="O212" s="4">
        <v>329.66930463574278</v>
      </c>
      <c r="X212" s="22">
        <f t="shared" si="14"/>
        <v>290.88039541027922</v>
      </c>
      <c r="Y212" s="2">
        <f t="shared" si="15"/>
        <v>1504.5794789012518</v>
      </c>
    </row>
    <row r="213" spans="1:25">
      <c r="A213" s="2" t="s">
        <v>10</v>
      </c>
      <c r="B213" s="2" t="s">
        <v>14</v>
      </c>
      <c r="C213" s="2">
        <v>1.845106442104766</v>
      </c>
      <c r="D213" s="2">
        <v>112.9239143579008</v>
      </c>
      <c r="E213" s="2">
        <v>192.4790105955129</v>
      </c>
      <c r="J213" s="4">
        <v>1</v>
      </c>
      <c r="K213" s="4">
        <f t="shared" si="12"/>
        <v>6</v>
      </c>
      <c r="L213" s="4">
        <f t="shared" si="13"/>
        <v>3</v>
      </c>
      <c r="M213" s="4">
        <v>1.845106442104766</v>
      </c>
      <c r="N213" s="4">
        <v>112.9239143579008</v>
      </c>
      <c r="O213" s="4">
        <v>192.4790105955129</v>
      </c>
      <c r="X213" s="22">
        <f t="shared" si="14"/>
        <v>190.40355778376369</v>
      </c>
      <c r="Y213" s="2">
        <f t="shared" si="15"/>
        <v>4.307504373797725</v>
      </c>
    </row>
    <row r="214" spans="1:25">
      <c r="A214" s="2" t="s">
        <v>8</v>
      </c>
      <c r="B214" s="2" t="s">
        <v>13</v>
      </c>
      <c r="C214" s="2">
        <v>7.0534190640261363</v>
      </c>
      <c r="D214" s="2">
        <v>154.76134439492529</v>
      </c>
      <c r="E214" s="2">
        <v>263.32163737435621</v>
      </c>
      <c r="J214" s="4">
        <v>1</v>
      </c>
      <c r="K214" s="4">
        <f t="shared" si="12"/>
        <v>4</v>
      </c>
      <c r="L214" s="4">
        <f t="shared" si="13"/>
        <v>2</v>
      </c>
      <c r="M214" s="4">
        <v>7.0534190640261363</v>
      </c>
      <c r="N214" s="4">
        <v>154.76134439492529</v>
      </c>
      <c r="O214" s="4">
        <v>263.32163737435621</v>
      </c>
      <c r="X214" s="22">
        <f t="shared" si="14"/>
        <v>318.26641041266538</v>
      </c>
      <c r="Y214" s="2">
        <f t="shared" si="15"/>
        <v>3018.928084231306</v>
      </c>
    </row>
    <row r="215" spans="1:25">
      <c r="A215" s="2" t="s">
        <v>9</v>
      </c>
      <c r="B215" s="2" t="s">
        <v>17</v>
      </c>
      <c r="C215" s="2">
        <v>4.9937519737411407</v>
      </c>
      <c r="D215" s="2">
        <v>168.39349276814119</v>
      </c>
      <c r="E215" s="2">
        <v>351.51850011947079</v>
      </c>
      <c r="J215" s="4">
        <v>1</v>
      </c>
      <c r="K215" s="4">
        <f t="shared" si="12"/>
        <v>5</v>
      </c>
      <c r="L215" s="4">
        <f t="shared" si="13"/>
        <v>6</v>
      </c>
      <c r="M215" s="4">
        <v>4.9937519737411407</v>
      </c>
      <c r="N215" s="4">
        <v>168.39349276814119</v>
      </c>
      <c r="O215" s="4">
        <v>351.51850011947079</v>
      </c>
      <c r="X215" s="22">
        <f t="shared" si="14"/>
        <v>311.89856778439741</v>
      </c>
      <c r="Y215" s="2">
        <f t="shared" si="15"/>
        <v>1569.7390382357926</v>
      </c>
    </row>
    <row r="216" spans="1:25">
      <c r="A216" s="2" t="s">
        <v>5</v>
      </c>
      <c r="B216" s="2" t="s">
        <v>13</v>
      </c>
      <c r="C216" s="2">
        <v>8.8132802893975484</v>
      </c>
      <c r="D216" s="2">
        <v>93.683856559360564</v>
      </c>
      <c r="E216" s="2">
        <v>268.9734861288394</v>
      </c>
      <c r="J216" s="4">
        <v>1</v>
      </c>
      <c r="K216" s="4">
        <f t="shared" si="12"/>
        <v>1</v>
      </c>
      <c r="L216" s="4">
        <f t="shared" si="13"/>
        <v>2</v>
      </c>
      <c r="M216" s="4">
        <v>8.8132802893975484</v>
      </c>
      <c r="N216" s="4">
        <v>93.683856559360564</v>
      </c>
      <c r="O216" s="4">
        <v>268.9734861288394</v>
      </c>
      <c r="X216" s="22">
        <f t="shared" si="14"/>
        <v>251.29052193077865</v>
      </c>
      <c r="Y216" s="2">
        <f t="shared" si="15"/>
        <v>312.68722282989808</v>
      </c>
    </row>
    <row r="217" spans="1:25">
      <c r="A217" s="2" t="s">
        <v>6</v>
      </c>
      <c r="B217" s="2" t="s">
        <v>17</v>
      </c>
      <c r="C217" s="2">
        <v>2.594348105026473</v>
      </c>
      <c r="D217" s="2">
        <v>67.44331737678381</v>
      </c>
      <c r="E217" s="2">
        <v>164.7487222358364</v>
      </c>
      <c r="J217" s="4">
        <v>1</v>
      </c>
      <c r="K217" s="4">
        <f t="shared" si="12"/>
        <v>3</v>
      </c>
      <c r="L217" s="4">
        <f t="shared" si="13"/>
        <v>6</v>
      </c>
      <c r="M217" s="4">
        <v>2.594348105026473</v>
      </c>
      <c r="N217" s="4">
        <v>67.44331737678381</v>
      </c>
      <c r="O217" s="4">
        <v>164.7487222358364</v>
      </c>
      <c r="X217" s="22">
        <f t="shared" si="14"/>
        <v>133.74352701378822</v>
      </c>
      <c r="Y217" s="2">
        <f t="shared" si="15"/>
        <v>961.32213075731886</v>
      </c>
    </row>
    <row r="218" spans="1:25">
      <c r="A218" s="2" t="s">
        <v>11</v>
      </c>
      <c r="B218" s="2" t="s">
        <v>14</v>
      </c>
      <c r="C218" s="2">
        <v>7.2336335700354804</v>
      </c>
      <c r="D218" s="2">
        <v>59.273630490247953</v>
      </c>
      <c r="E218" s="2">
        <v>161.35022503178271</v>
      </c>
      <c r="J218" s="4">
        <v>1</v>
      </c>
      <c r="K218" s="4">
        <f t="shared" si="12"/>
        <v>7</v>
      </c>
      <c r="L218" s="4">
        <f t="shared" si="13"/>
        <v>3</v>
      </c>
      <c r="M218" s="4">
        <v>7.2336335700354804</v>
      </c>
      <c r="N218" s="4">
        <v>59.273630490247953</v>
      </c>
      <c r="O218" s="4">
        <v>161.35022503178271</v>
      </c>
      <c r="X218" s="22">
        <f t="shared" si="14"/>
        <v>176.32336160051364</v>
      </c>
      <c r="Y218" s="2">
        <f t="shared" si="15"/>
        <v>224.19481870586722</v>
      </c>
    </row>
    <row r="219" spans="1:25">
      <c r="A219" s="2" t="s">
        <v>5</v>
      </c>
      <c r="B219" s="2" t="s">
        <v>15</v>
      </c>
      <c r="C219" s="2">
        <v>8.5430376068329927</v>
      </c>
      <c r="D219" s="2">
        <v>46.97852897392567</v>
      </c>
      <c r="E219" s="2">
        <v>217.55332155293101</v>
      </c>
      <c r="J219" s="4">
        <v>1</v>
      </c>
      <c r="K219" s="4">
        <f t="shared" si="12"/>
        <v>1</v>
      </c>
      <c r="L219" s="4">
        <f t="shared" si="13"/>
        <v>4</v>
      </c>
      <c r="M219" s="4">
        <v>8.5430376068329927</v>
      </c>
      <c r="N219" s="4">
        <v>46.97852897392567</v>
      </c>
      <c r="O219" s="4">
        <v>217.55332155293101</v>
      </c>
      <c r="X219" s="22">
        <f t="shared" si="14"/>
        <v>178.27590756048718</v>
      </c>
      <c r="Y219" s="2">
        <f t="shared" si="15"/>
        <v>1542.715249933822</v>
      </c>
    </row>
    <row r="220" spans="1:25">
      <c r="A220" s="2" t="s">
        <v>10</v>
      </c>
      <c r="B220" s="2" t="s">
        <v>17</v>
      </c>
      <c r="C220" s="2">
        <v>9.5015279752662085</v>
      </c>
      <c r="D220" s="2">
        <v>20.953040617814729</v>
      </c>
      <c r="E220" s="2">
        <v>130.58324720883741</v>
      </c>
      <c r="J220" s="4">
        <v>1</v>
      </c>
      <c r="K220" s="4">
        <f t="shared" si="12"/>
        <v>6</v>
      </c>
      <c r="L220" s="4">
        <f t="shared" si="13"/>
        <v>6</v>
      </c>
      <c r="M220" s="4">
        <v>9.5015279752662085</v>
      </c>
      <c r="N220" s="4">
        <v>20.953040617814729</v>
      </c>
      <c r="O220" s="4">
        <v>130.58324720883741</v>
      </c>
      <c r="X220" s="22">
        <f t="shared" si="14"/>
        <v>147.59177732065729</v>
      </c>
      <c r="Y220" s="2">
        <f t="shared" si="15"/>
        <v>289.29009656468355</v>
      </c>
    </row>
    <row r="221" spans="1:25">
      <c r="A221" s="2" t="s">
        <v>11</v>
      </c>
      <c r="B221" s="2" t="s">
        <v>16</v>
      </c>
      <c r="C221" s="2">
        <v>7.1492322546068134</v>
      </c>
      <c r="D221" s="2">
        <v>75.065115978595529</v>
      </c>
      <c r="E221" s="2">
        <v>216.95576150721291</v>
      </c>
      <c r="J221" s="4">
        <v>1</v>
      </c>
      <c r="K221" s="4">
        <f t="shared" si="12"/>
        <v>7</v>
      </c>
      <c r="L221" s="4">
        <f t="shared" si="13"/>
        <v>5</v>
      </c>
      <c r="M221" s="4">
        <v>7.1492322546068134</v>
      </c>
      <c r="N221" s="4">
        <v>75.065115978595529</v>
      </c>
      <c r="O221" s="4">
        <v>216.95576150721291</v>
      </c>
      <c r="X221" s="22">
        <f t="shared" si="14"/>
        <v>198.47325593639778</v>
      </c>
      <c r="Y221" s="2">
        <f t="shared" si="15"/>
        <v>341.60301217521248</v>
      </c>
    </row>
    <row r="222" spans="1:25">
      <c r="A222" s="2" t="s">
        <v>11</v>
      </c>
      <c r="B222" s="2" t="s">
        <v>16</v>
      </c>
      <c r="C222" s="2">
        <v>5.4745728760758459</v>
      </c>
      <c r="D222" s="2">
        <v>61.347061504848817</v>
      </c>
      <c r="E222" s="2">
        <v>156.674770431203</v>
      </c>
      <c r="J222" s="4">
        <v>1</v>
      </c>
      <c r="K222" s="4">
        <f t="shared" si="12"/>
        <v>7</v>
      </c>
      <c r="L222" s="4">
        <f t="shared" si="13"/>
        <v>5</v>
      </c>
      <c r="M222" s="4">
        <v>5.4745728760758459</v>
      </c>
      <c r="N222" s="4">
        <v>61.347061504848817</v>
      </c>
      <c r="O222" s="4">
        <v>156.674770431203</v>
      </c>
      <c r="X222" s="22">
        <f t="shared" si="14"/>
        <v>157.46481999181731</v>
      </c>
      <c r="Y222" s="2">
        <f t="shared" si="15"/>
        <v>0.62417830822685916</v>
      </c>
    </row>
    <row r="223" spans="1:25">
      <c r="A223" s="2" t="s">
        <v>11</v>
      </c>
      <c r="B223" s="2" t="s">
        <v>12</v>
      </c>
      <c r="C223" s="2">
        <v>6.5606251618109246</v>
      </c>
      <c r="D223" s="2">
        <v>193.61930331461741</v>
      </c>
      <c r="E223" s="2">
        <v>419.04308317539102</v>
      </c>
      <c r="J223" s="4">
        <v>1</v>
      </c>
      <c r="K223" s="4">
        <f t="shared" si="12"/>
        <v>7</v>
      </c>
      <c r="L223" s="4">
        <f t="shared" si="13"/>
        <v>1</v>
      </c>
      <c r="M223" s="4">
        <v>6.5606251618109246</v>
      </c>
      <c r="N223" s="4">
        <v>193.61930331461741</v>
      </c>
      <c r="O223" s="4">
        <v>419.04308317539102</v>
      </c>
      <c r="X223" s="22">
        <f t="shared" si="14"/>
        <v>367.96418019220084</v>
      </c>
      <c r="Y223" s="2">
        <f t="shared" si="15"/>
        <v>2609.0543299661545</v>
      </c>
    </row>
    <row r="224" spans="1:25">
      <c r="A224" s="2" t="s">
        <v>8</v>
      </c>
      <c r="B224" s="2" t="s">
        <v>17</v>
      </c>
      <c r="C224" s="2">
        <v>8.8201448603084636</v>
      </c>
      <c r="D224" s="2">
        <v>115.9646769875083</v>
      </c>
      <c r="E224" s="2">
        <v>350.37831420294913</v>
      </c>
      <c r="J224" s="4">
        <v>1</v>
      </c>
      <c r="K224" s="4">
        <f t="shared" si="12"/>
        <v>4</v>
      </c>
      <c r="L224" s="4">
        <f t="shared" si="13"/>
        <v>6</v>
      </c>
      <c r="M224" s="4">
        <v>8.8201448603084636</v>
      </c>
      <c r="N224" s="4">
        <v>115.9646769875083</v>
      </c>
      <c r="O224" s="4">
        <v>350.37831420294913</v>
      </c>
      <c r="X224" s="22">
        <f t="shared" si="14"/>
        <v>281.81012719799008</v>
      </c>
      <c r="Y224" s="2">
        <f t="shared" si="15"/>
        <v>4701.596269147034</v>
      </c>
    </row>
    <row r="225" spans="1:25">
      <c r="A225" s="2" t="s">
        <v>10</v>
      </c>
      <c r="B225" s="2" t="s">
        <v>15</v>
      </c>
      <c r="C225" s="2">
        <v>6.1354877197494666</v>
      </c>
      <c r="D225" s="2">
        <v>75.982637415796432</v>
      </c>
      <c r="E225" s="2">
        <v>230.06039782958021</v>
      </c>
      <c r="J225" s="4">
        <v>1</v>
      </c>
      <c r="K225" s="4">
        <f t="shared" si="12"/>
        <v>6</v>
      </c>
      <c r="L225" s="4">
        <f t="shared" si="13"/>
        <v>4</v>
      </c>
      <c r="M225" s="4">
        <v>6.1354877197494666</v>
      </c>
      <c r="N225" s="4">
        <v>75.982637415796432</v>
      </c>
      <c r="O225" s="4">
        <v>230.06039782958021</v>
      </c>
      <c r="X225" s="22">
        <f t="shared" si="14"/>
        <v>188.19898866602128</v>
      </c>
      <c r="Y225" s="2">
        <f t="shared" si="15"/>
        <v>1752.3775771588957</v>
      </c>
    </row>
    <row r="226" spans="1:25">
      <c r="A226" s="2" t="s">
        <v>11</v>
      </c>
      <c r="B226" s="2" t="s">
        <v>13</v>
      </c>
      <c r="C226" s="2">
        <v>1.2734835372715321</v>
      </c>
      <c r="D226" s="2">
        <v>120.2888441888022</v>
      </c>
      <c r="E226" s="2">
        <v>210.3062587360136</v>
      </c>
      <c r="J226" s="4">
        <v>1</v>
      </c>
      <c r="K226" s="4">
        <f t="shared" si="12"/>
        <v>7</v>
      </c>
      <c r="L226" s="4">
        <f t="shared" si="13"/>
        <v>2</v>
      </c>
      <c r="M226" s="4">
        <v>1.2734835372715321</v>
      </c>
      <c r="N226" s="4">
        <v>120.2888441888022</v>
      </c>
      <c r="O226" s="4">
        <v>210.3062587360136</v>
      </c>
      <c r="X226" s="22">
        <f t="shared" si="14"/>
        <v>193.74209547912332</v>
      </c>
      <c r="Y226" s="2">
        <f t="shared" si="15"/>
        <v>274.37150440091409</v>
      </c>
    </row>
    <row r="227" spans="1:25">
      <c r="A227" s="2" t="s">
        <v>6</v>
      </c>
      <c r="B227" s="2" t="s">
        <v>14</v>
      </c>
      <c r="C227" s="2">
        <v>9.3785382595628004</v>
      </c>
      <c r="D227" s="2">
        <v>36.447373255682137</v>
      </c>
      <c r="E227" s="2">
        <v>103.6429854487385</v>
      </c>
      <c r="J227" s="4">
        <v>1</v>
      </c>
      <c r="K227" s="4">
        <f t="shared" si="12"/>
        <v>3</v>
      </c>
      <c r="L227" s="4">
        <f t="shared" si="13"/>
        <v>3</v>
      </c>
      <c r="M227" s="4">
        <v>9.3785382595628004</v>
      </c>
      <c r="N227" s="4">
        <v>36.447373255682137</v>
      </c>
      <c r="O227" s="4">
        <v>103.6429854487385</v>
      </c>
      <c r="X227" s="22">
        <f t="shared" si="14"/>
        <v>171.64034902937709</v>
      </c>
      <c r="Y227" s="2">
        <f t="shared" si="15"/>
        <v>4623.6414539175557</v>
      </c>
    </row>
    <row r="228" spans="1:25">
      <c r="A228" s="2" t="s">
        <v>7</v>
      </c>
      <c r="B228" s="2" t="s">
        <v>12</v>
      </c>
      <c r="C228" s="2">
        <v>7.2057407592840503</v>
      </c>
      <c r="D228" s="2">
        <v>94.368312348418556</v>
      </c>
      <c r="E228" s="2">
        <v>249.1632526720247</v>
      </c>
      <c r="J228" s="4">
        <v>1</v>
      </c>
      <c r="K228" s="4">
        <f t="shared" si="12"/>
        <v>2</v>
      </c>
      <c r="L228" s="4">
        <f t="shared" si="13"/>
        <v>1</v>
      </c>
      <c r="M228" s="4">
        <v>7.2057407592840503</v>
      </c>
      <c r="N228" s="4">
        <v>94.368312348418556</v>
      </c>
      <c r="O228" s="4">
        <v>249.1632526720247</v>
      </c>
      <c r="X228" s="22">
        <f t="shared" si="14"/>
        <v>231.94474245690171</v>
      </c>
      <c r="Y228" s="2">
        <f t="shared" si="15"/>
        <v>296.47709402829474</v>
      </c>
    </row>
    <row r="229" spans="1:25">
      <c r="A229" s="2" t="s">
        <v>11</v>
      </c>
      <c r="B229" s="2" t="s">
        <v>16</v>
      </c>
      <c r="C229" s="2">
        <v>7.0886204719952186</v>
      </c>
      <c r="D229" s="2">
        <v>128.9845210700021</v>
      </c>
      <c r="E229" s="2">
        <v>257.32749440580631</v>
      </c>
      <c r="J229" s="4">
        <v>1</v>
      </c>
      <c r="K229" s="4">
        <f t="shared" si="12"/>
        <v>7</v>
      </c>
      <c r="L229" s="4">
        <f t="shared" si="13"/>
        <v>5</v>
      </c>
      <c r="M229" s="4">
        <v>7.0886204719952186</v>
      </c>
      <c r="N229" s="4">
        <v>128.9845210700021</v>
      </c>
      <c r="O229" s="4">
        <v>257.32749440580631</v>
      </c>
      <c r="X229" s="22">
        <f t="shared" si="14"/>
        <v>277.85606577003057</v>
      </c>
      <c r="Y229" s="2">
        <f t="shared" si="15"/>
        <v>421.42224225604838</v>
      </c>
    </row>
    <row r="230" spans="1:25">
      <c r="A230" s="2" t="s">
        <v>8</v>
      </c>
      <c r="B230" s="2" t="s">
        <v>13</v>
      </c>
      <c r="C230" s="2">
        <v>2.941076371579455</v>
      </c>
      <c r="D230" s="2">
        <v>102.8905880405658</v>
      </c>
      <c r="E230" s="2">
        <v>191.50603359188429</v>
      </c>
      <c r="J230" s="4">
        <v>1</v>
      </c>
      <c r="K230" s="4">
        <f t="shared" si="12"/>
        <v>4</v>
      </c>
      <c r="L230" s="4">
        <f t="shared" si="13"/>
        <v>2</v>
      </c>
      <c r="M230" s="4">
        <v>2.941076371579455</v>
      </c>
      <c r="N230" s="4">
        <v>102.8905880405658</v>
      </c>
      <c r="O230" s="4">
        <v>191.50603359188429</v>
      </c>
      <c r="X230" s="22">
        <f t="shared" si="14"/>
        <v>190.54135006125912</v>
      </c>
      <c r="Y230" s="2">
        <f t="shared" si="15"/>
        <v>0.93061431425943553</v>
      </c>
    </row>
    <row r="231" spans="1:25">
      <c r="A231" s="2" t="s">
        <v>5</v>
      </c>
      <c r="B231" s="2" t="s">
        <v>13</v>
      </c>
      <c r="C231" s="2">
        <v>6.9299692320939146</v>
      </c>
      <c r="D231" s="2">
        <v>86.33797212432161</v>
      </c>
      <c r="E231" s="2">
        <v>232.8442225756327</v>
      </c>
      <c r="J231" s="4">
        <v>1</v>
      </c>
      <c r="K231" s="4">
        <f t="shared" si="12"/>
        <v>1</v>
      </c>
      <c r="L231" s="4">
        <f t="shared" si="13"/>
        <v>2</v>
      </c>
      <c r="M231" s="4">
        <v>6.9299692320939146</v>
      </c>
      <c r="N231" s="4">
        <v>86.33797212432161</v>
      </c>
      <c r="O231" s="4">
        <v>232.8442225756327</v>
      </c>
      <c r="X231" s="22">
        <f t="shared" si="14"/>
        <v>217.18233174921482</v>
      </c>
      <c r="Y231" s="2">
        <f t="shared" si="15"/>
        <v>245.29482425863236</v>
      </c>
    </row>
    <row r="232" spans="1:25">
      <c r="A232" s="2" t="s">
        <v>10</v>
      </c>
      <c r="B232" s="2" t="s">
        <v>14</v>
      </c>
      <c r="C232" s="2">
        <v>4.5447796508874259</v>
      </c>
      <c r="D232" s="2">
        <v>198.83119389094259</v>
      </c>
      <c r="E232" s="2">
        <v>303.5347303095312</v>
      </c>
      <c r="J232" s="4">
        <v>1</v>
      </c>
      <c r="K232" s="4">
        <f t="shared" si="12"/>
        <v>6</v>
      </c>
      <c r="L232" s="4">
        <f t="shared" si="13"/>
        <v>3</v>
      </c>
      <c r="M232" s="4">
        <v>4.5447796508874259</v>
      </c>
      <c r="N232" s="4">
        <v>198.83119389094259</v>
      </c>
      <c r="O232" s="4">
        <v>303.5347303095312</v>
      </c>
      <c r="X232" s="22">
        <f t="shared" si="14"/>
        <v>351.31408320513691</v>
      </c>
      <c r="Y232" s="2">
        <f t="shared" si="15"/>
        <v>2282.8665631228259</v>
      </c>
    </row>
    <row r="233" spans="1:25">
      <c r="A233" s="2" t="s">
        <v>8</v>
      </c>
      <c r="B233" s="2" t="s">
        <v>17</v>
      </c>
      <c r="C233" s="2">
        <v>6.861096793373429</v>
      </c>
      <c r="D233" s="2">
        <v>177.25980480829611</v>
      </c>
      <c r="E233" s="2">
        <v>321.14169593040509</v>
      </c>
      <c r="J233" s="4">
        <v>1</v>
      </c>
      <c r="K233" s="4">
        <f t="shared" si="12"/>
        <v>4</v>
      </c>
      <c r="L233" s="4">
        <f t="shared" si="13"/>
        <v>6</v>
      </c>
      <c r="M233" s="4">
        <v>6.861096793373429</v>
      </c>
      <c r="N233" s="4">
        <v>177.25980480829611</v>
      </c>
      <c r="O233" s="4">
        <v>321.14169593040509</v>
      </c>
      <c r="X233" s="22">
        <f t="shared" si="14"/>
        <v>348.77615415831917</v>
      </c>
      <c r="Y233" s="2">
        <f t="shared" si="15"/>
        <v>763.66328155032829</v>
      </c>
    </row>
    <row r="234" spans="1:25">
      <c r="A234" s="2" t="s">
        <v>11</v>
      </c>
      <c r="B234" s="2" t="s">
        <v>16</v>
      </c>
      <c r="C234" s="2">
        <v>1.959337272771916</v>
      </c>
      <c r="D234" s="2">
        <v>128.44713205029359</v>
      </c>
      <c r="E234" s="2">
        <v>234.51492640592119</v>
      </c>
      <c r="J234" s="4">
        <v>1</v>
      </c>
      <c r="K234" s="4">
        <f t="shared" si="12"/>
        <v>7</v>
      </c>
      <c r="L234" s="4">
        <f t="shared" si="13"/>
        <v>5</v>
      </c>
      <c r="M234" s="4">
        <v>1.959337272771916</v>
      </c>
      <c r="N234" s="4">
        <v>128.44713205029359</v>
      </c>
      <c r="O234" s="4">
        <v>234.51492640592119</v>
      </c>
      <c r="X234" s="22">
        <f t="shared" si="14"/>
        <v>213.8942710635994</v>
      </c>
      <c r="Y234" s="2">
        <f t="shared" si="15"/>
        <v>425.21142674682386</v>
      </c>
    </row>
    <row r="235" spans="1:25">
      <c r="A235" s="2" t="s">
        <v>10</v>
      </c>
      <c r="B235" s="2" t="s">
        <v>15</v>
      </c>
      <c r="C235" s="2">
        <v>6.9206077414273244</v>
      </c>
      <c r="D235" s="2">
        <v>118.1816986246337</v>
      </c>
      <c r="E235" s="2">
        <v>227.94993122115329</v>
      </c>
      <c r="J235" s="4">
        <v>1</v>
      </c>
      <c r="K235" s="4">
        <f t="shared" si="12"/>
        <v>6</v>
      </c>
      <c r="L235" s="4">
        <f t="shared" si="13"/>
        <v>4</v>
      </c>
      <c r="M235" s="4">
        <v>6.9206077414273244</v>
      </c>
      <c r="N235" s="4">
        <v>118.1816986246337</v>
      </c>
      <c r="O235" s="4">
        <v>227.94993122115329</v>
      </c>
      <c r="X235" s="22">
        <f t="shared" si="14"/>
        <v>260.57882698755429</v>
      </c>
      <c r="Y235" s="2">
        <f t="shared" si="15"/>
        <v>1064.6448389346613</v>
      </c>
    </row>
    <row r="236" spans="1:25">
      <c r="A236" s="2" t="s">
        <v>7</v>
      </c>
      <c r="B236" s="2" t="s">
        <v>13</v>
      </c>
      <c r="C236" s="2">
        <v>9.9947235319359997</v>
      </c>
      <c r="D236" s="2">
        <v>127.92549116667099</v>
      </c>
      <c r="E236" s="2">
        <v>322.90069464799598</v>
      </c>
      <c r="J236" s="4">
        <v>1</v>
      </c>
      <c r="K236" s="4">
        <f t="shared" si="12"/>
        <v>2</v>
      </c>
      <c r="L236" s="4">
        <f t="shared" si="13"/>
        <v>2</v>
      </c>
      <c r="M236" s="4">
        <v>9.9947235319359997</v>
      </c>
      <c r="N236" s="4">
        <v>127.92549116667099</v>
      </c>
      <c r="O236" s="4">
        <v>322.90069464799598</v>
      </c>
      <c r="X236" s="22">
        <f t="shared" si="14"/>
        <v>316.01879551717241</v>
      </c>
      <c r="Y236" s="2">
        <f t="shared" si="15"/>
        <v>47.360535646830201</v>
      </c>
    </row>
    <row r="237" spans="1:25">
      <c r="A237" s="2" t="s">
        <v>11</v>
      </c>
      <c r="B237" s="2" t="s">
        <v>14</v>
      </c>
      <c r="C237" s="2">
        <v>1.433908349745004</v>
      </c>
      <c r="D237" s="2">
        <v>48.249300486262321</v>
      </c>
      <c r="E237" s="2">
        <v>94.787398305570733</v>
      </c>
      <c r="J237" s="4">
        <v>1</v>
      </c>
      <c r="K237" s="4">
        <f t="shared" si="12"/>
        <v>7</v>
      </c>
      <c r="L237" s="4">
        <f t="shared" si="13"/>
        <v>3</v>
      </c>
      <c r="M237" s="4">
        <v>1.433908349745004</v>
      </c>
      <c r="N237" s="4">
        <v>48.249300486262321</v>
      </c>
      <c r="O237" s="4">
        <v>94.787398305570733</v>
      </c>
      <c r="X237" s="22">
        <f t="shared" si="14"/>
        <v>88.521028792224442</v>
      </c>
      <c r="Y237" s="2">
        <f t="shared" si="15"/>
        <v>39.267386877795829</v>
      </c>
    </row>
    <row r="238" spans="1:25">
      <c r="A238" s="2" t="s">
        <v>8</v>
      </c>
      <c r="B238" s="2" t="s">
        <v>15</v>
      </c>
      <c r="C238" s="2">
        <v>9.7945676579918555</v>
      </c>
      <c r="D238" s="2">
        <v>85.07617122022053</v>
      </c>
      <c r="E238" s="2">
        <v>204.37962916892309</v>
      </c>
      <c r="J238" s="4">
        <v>1</v>
      </c>
      <c r="K238" s="4">
        <f t="shared" si="12"/>
        <v>4</v>
      </c>
      <c r="L238" s="4">
        <f t="shared" si="13"/>
        <v>4</v>
      </c>
      <c r="M238" s="4">
        <v>9.7945676579918555</v>
      </c>
      <c r="N238" s="4">
        <v>85.07617122022053</v>
      </c>
      <c r="O238" s="4">
        <v>204.37962916892309</v>
      </c>
      <c r="X238" s="22">
        <f t="shared" si="14"/>
        <v>248.18460290284492</v>
      </c>
      <c r="Y238" s="2">
        <f t="shared" si="15"/>
        <v>1918.8757238295811</v>
      </c>
    </row>
    <row r="239" spans="1:25">
      <c r="A239" s="2" t="s">
        <v>9</v>
      </c>
      <c r="B239" s="2" t="s">
        <v>17</v>
      </c>
      <c r="C239" s="2">
        <v>4.6621716465058354</v>
      </c>
      <c r="D239" s="2">
        <v>17.497311249270869</v>
      </c>
      <c r="E239" s="2">
        <v>52.723876181888073</v>
      </c>
      <c r="J239" s="4">
        <v>1</v>
      </c>
      <c r="K239" s="4">
        <f t="shared" si="12"/>
        <v>5</v>
      </c>
      <c r="L239" s="4">
        <f t="shared" si="13"/>
        <v>6</v>
      </c>
      <c r="M239" s="4">
        <v>4.6621716465058354</v>
      </c>
      <c r="N239" s="4">
        <v>17.497311249270869</v>
      </c>
      <c r="O239" s="4">
        <v>52.723876181888073</v>
      </c>
      <c r="X239" s="22">
        <f t="shared" si="14"/>
        <v>83.569800001802037</v>
      </c>
      <c r="Y239" s="2">
        <f t="shared" si="15"/>
        <v>951.47101630393558</v>
      </c>
    </row>
    <row r="240" spans="1:25">
      <c r="A240" s="2" t="s">
        <v>6</v>
      </c>
      <c r="B240" s="2" t="s">
        <v>16</v>
      </c>
      <c r="C240" s="2">
        <v>8.8367810530353328</v>
      </c>
      <c r="D240" s="2">
        <v>100.3537471224971</v>
      </c>
      <c r="E240" s="2">
        <v>340.04887878458533</v>
      </c>
      <c r="J240" s="4">
        <v>1</v>
      </c>
      <c r="K240" s="4">
        <f t="shared" si="12"/>
        <v>3</v>
      </c>
      <c r="L240" s="4">
        <f t="shared" si="13"/>
        <v>5</v>
      </c>
      <c r="M240" s="4">
        <v>8.8367810530353328</v>
      </c>
      <c r="N240" s="4">
        <v>100.3537471224971</v>
      </c>
      <c r="O240" s="4">
        <v>340.04887878458533</v>
      </c>
      <c r="X240" s="22">
        <f t="shared" si="14"/>
        <v>259.66140811473974</v>
      </c>
      <c r="Y240" s="2">
        <f t="shared" si="15"/>
        <v>6462.1454406952844</v>
      </c>
    </row>
    <row r="241" spans="1:25">
      <c r="A241" s="2" t="s">
        <v>5</v>
      </c>
      <c r="B241" s="2" t="s">
        <v>17</v>
      </c>
      <c r="C241" s="2">
        <v>8.0414693565244608</v>
      </c>
      <c r="D241" s="2">
        <v>113.174670951956</v>
      </c>
      <c r="E241" s="2">
        <v>302.5293857547228</v>
      </c>
      <c r="J241" s="4">
        <v>1</v>
      </c>
      <c r="K241" s="4">
        <f t="shared" si="12"/>
        <v>1</v>
      </c>
      <c r="L241" s="4">
        <f t="shared" si="13"/>
        <v>6</v>
      </c>
      <c r="M241" s="4">
        <v>8.0414693565244608</v>
      </c>
      <c r="N241" s="4">
        <v>113.174670951956</v>
      </c>
      <c r="O241" s="4">
        <v>302.5293857547228</v>
      </c>
      <c r="X241" s="22">
        <f t="shared" si="14"/>
        <v>270.19466889953844</v>
      </c>
      <c r="Y241" s="2">
        <f t="shared" si="15"/>
        <v>1045.5339141049431</v>
      </c>
    </row>
    <row r="242" spans="1:25">
      <c r="A242" s="2" t="s">
        <v>8</v>
      </c>
      <c r="B242" s="2" t="s">
        <v>13</v>
      </c>
      <c r="C242" s="2">
        <v>6.10314634888001</v>
      </c>
      <c r="D242" s="2">
        <v>53.272449859609821</v>
      </c>
      <c r="E242" s="2">
        <v>181.7037528605226</v>
      </c>
      <c r="J242" s="4">
        <v>1</v>
      </c>
      <c r="K242" s="4">
        <f t="shared" si="12"/>
        <v>4</v>
      </c>
      <c r="L242" s="4">
        <f t="shared" si="13"/>
        <v>2</v>
      </c>
      <c r="M242" s="4">
        <v>6.10314634888001</v>
      </c>
      <c r="N242" s="4">
        <v>53.272449859609821</v>
      </c>
      <c r="O242" s="4">
        <v>181.7037528605226</v>
      </c>
      <c r="X242" s="22">
        <f t="shared" si="14"/>
        <v>155.74269551743632</v>
      </c>
      <c r="Y242" s="2">
        <f t="shared" si="15"/>
        <v>673.97649837101415</v>
      </c>
    </row>
    <row r="243" spans="1:25">
      <c r="A243" s="2" t="s">
        <v>10</v>
      </c>
      <c r="B243" s="2" t="s">
        <v>15</v>
      </c>
      <c r="C243" s="2">
        <v>7.6460428832619387</v>
      </c>
      <c r="D243" s="2">
        <v>193.1654809614476</v>
      </c>
      <c r="E243" s="2">
        <v>478.30170145838389</v>
      </c>
      <c r="J243" s="4">
        <v>1</v>
      </c>
      <c r="K243" s="4">
        <f t="shared" si="12"/>
        <v>6</v>
      </c>
      <c r="L243" s="4">
        <f t="shared" si="13"/>
        <v>4</v>
      </c>
      <c r="M243" s="4">
        <v>7.6460428832619387</v>
      </c>
      <c r="N243" s="4">
        <v>193.1654809614476</v>
      </c>
      <c r="O243" s="4">
        <v>478.30170145838389</v>
      </c>
      <c r="X243" s="22">
        <f t="shared" si="14"/>
        <v>380.94480414205657</v>
      </c>
      <c r="Y243" s="2">
        <f t="shared" si="15"/>
        <v>9478.3654550619012</v>
      </c>
    </row>
    <row r="244" spans="1:25">
      <c r="A244" s="2" t="s">
        <v>11</v>
      </c>
      <c r="B244" s="2" t="s">
        <v>15</v>
      </c>
      <c r="C244" s="2">
        <v>8.9066400517121309</v>
      </c>
      <c r="D244" s="2">
        <v>182.79637607807601</v>
      </c>
      <c r="E244" s="2">
        <v>369.67042096987188</v>
      </c>
      <c r="J244" s="4">
        <v>1</v>
      </c>
      <c r="K244" s="4">
        <f t="shared" si="12"/>
        <v>7</v>
      </c>
      <c r="L244" s="4">
        <f t="shared" si="13"/>
        <v>4</v>
      </c>
      <c r="M244" s="4">
        <v>8.9066400517121309</v>
      </c>
      <c r="N244" s="4">
        <v>182.79637607807601</v>
      </c>
      <c r="O244" s="4">
        <v>369.67042096987188</v>
      </c>
      <c r="X244" s="22">
        <f t="shared" si="14"/>
        <v>380.35213378390546</v>
      </c>
      <c r="Y244" s="2">
        <f t="shared" si="15"/>
        <v>114.09898864148906</v>
      </c>
    </row>
    <row r="245" spans="1:25">
      <c r="A245" s="2" t="s">
        <v>6</v>
      </c>
      <c r="B245" s="2" t="s">
        <v>15</v>
      </c>
      <c r="C245" s="2">
        <v>4.6372628948592967</v>
      </c>
      <c r="D245" s="2">
        <v>147.20721473662209</v>
      </c>
      <c r="E245" s="2">
        <v>282.29172784568482</v>
      </c>
      <c r="J245" s="4">
        <v>1</v>
      </c>
      <c r="K245" s="4">
        <f t="shared" si="12"/>
        <v>3</v>
      </c>
      <c r="L245" s="4">
        <f t="shared" si="13"/>
        <v>4</v>
      </c>
      <c r="M245" s="4">
        <v>4.6372628948592967</v>
      </c>
      <c r="N245" s="4">
        <v>147.20721473662209</v>
      </c>
      <c r="O245" s="4">
        <v>282.29172784568482</v>
      </c>
      <c r="X245" s="22">
        <f t="shared" si="14"/>
        <v>277.71531421673529</v>
      </c>
      <c r="Y245" s="2">
        <f t="shared" si="15"/>
        <v>20.943561703234952</v>
      </c>
    </row>
    <row r="246" spans="1:25">
      <c r="A246" s="2" t="s">
        <v>11</v>
      </c>
      <c r="B246" s="2" t="s">
        <v>13</v>
      </c>
      <c r="C246" s="2">
        <v>3.943298454069148</v>
      </c>
      <c r="D246" s="2">
        <v>111.3434594654189</v>
      </c>
      <c r="E246" s="2">
        <v>242.73813503970371</v>
      </c>
      <c r="J246" s="4">
        <v>1</v>
      </c>
      <c r="K246" s="4">
        <f t="shared" si="12"/>
        <v>7</v>
      </c>
      <c r="L246" s="4">
        <f t="shared" si="13"/>
        <v>2</v>
      </c>
      <c r="M246" s="4">
        <v>3.943298454069148</v>
      </c>
      <c r="N246" s="4">
        <v>111.3434594654189</v>
      </c>
      <c r="O246" s="4">
        <v>242.73813503970371</v>
      </c>
      <c r="X246" s="22">
        <f t="shared" si="14"/>
        <v>213.32515191620351</v>
      </c>
      <c r="Y246" s="2">
        <f t="shared" si="15"/>
        <v>865.1235762233074</v>
      </c>
    </row>
    <row r="247" spans="1:25">
      <c r="A247" s="2" t="s">
        <v>10</v>
      </c>
      <c r="B247" s="2" t="s">
        <v>13</v>
      </c>
      <c r="C247" s="2">
        <v>7.0083404700722616</v>
      </c>
      <c r="D247" s="2">
        <v>175.29414033306011</v>
      </c>
      <c r="E247" s="2">
        <v>386.45034051581843</v>
      </c>
      <c r="J247" s="4">
        <v>1</v>
      </c>
      <c r="K247" s="4">
        <f t="shared" si="12"/>
        <v>6</v>
      </c>
      <c r="L247" s="4">
        <f t="shared" si="13"/>
        <v>2</v>
      </c>
      <c r="M247" s="4">
        <v>7.0083404700722616</v>
      </c>
      <c r="N247" s="4">
        <v>175.29414033306011</v>
      </c>
      <c r="O247" s="4">
        <v>386.45034051581843</v>
      </c>
      <c r="X247" s="22">
        <f t="shared" si="14"/>
        <v>346.81190058337029</v>
      </c>
      <c r="Y247" s="2">
        <f t="shared" si="15"/>
        <v>1571.2059202782991</v>
      </c>
    </row>
    <row r="248" spans="1:25">
      <c r="A248" s="2" t="s">
        <v>11</v>
      </c>
      <c r="B248" s="2" t="s">
        <v>17</v>
      </c>
      <c r="C248" s="2">
        <v>8.2706134774713274</v>
      </c>
      <c r="D248" s="2">
        <v>34.823945326457952</v>
      </c>
      <c r="E248" s="2">
        <v>153.6303770187169</v>
      </c>
      <c r="J248" s="4">
        <v>1</v>
      </c>
      <c r="K248" s="4">
        <f t="shared" si="12"/>
        <v>7</v>
      </c>
      <c r="L248" s="4">
        <f t="shared" si="13"/>
        <v>6</v>
      </c>
      <c r="M248" s="4">
        <v>8.2706134774713274</v>
      </c>
      <c r="N248" s="4">
        <v>34.823945326457952</v>
      </c>
      <c r="O248" s="4">
        <v>153.6303770187169</v>
      </c>
      <c r="X248" s="22">
        <f t="shared" si="14"/>
        <v>152.34093808748258</v>
      </c>
      <c r="Y248" s="2">
        <f t="shared" si="15"/>
        <v>1.6626527573826928</v>
      </c>
    </row>
    <row r="249" spans="1:25">
      <c r="A249" s="2" t="s">
        <v>9</v>
      </c>
      <c r="B249" s="2" t="s">
        <v>12</v>
      </c>
      <c r="C249" s="2">
        <v>7.8605662129895419</v>
      </c>
      <c r="D249" s="2">
        <v>160.19686091222809</v>
      </c>
      <c r="E249" s="2">
        <v>336.46315546483692</v>
      </c>
      <c r="J249" s="4">
        <v>1</v>
      </c>
      <c r="K249" s="4">
        <f t="shared" si="12"/>
        <v>5</v>
      </c>
      <c r="L249" s="4">
        <f t="shared" si="13"/>
        <v>1</v>
      </c>
      <c r="M249" s="4">
        <v>7.8605662129895419</v>
      </c>
      <c r="N249" s="4">
        <v>160.19686091222809</v>
      </c>
      <c r="O249" s="4">
        <v>336.46315546483692</v>
      </c>
      <c r="X249" s="22">
        <f t="shared" si="14"/>
        <v>335.71615720596185</v>
      </c>
      <c r="Y249" s="2">
        <f t="shared" si="15"/>
        <v>0.55800639876238123</v>
      </c>
    </row>
    <row r="250" spans="1:25">
      <c r="A250" s="2" t="s">
        <v>6</v>
      </c>
      <c r="B250" s="2" t="s">
        <v>17</v>
      </c>
      <c r="C250" s="2">
        <v>8.1803228397277099</v>
      </c>
      <c r="D250" s="2">
        <v>33.715954653701168</v>
      </c>
      <c r="E250" s="2">
        <v>167.8003110929306</v>
      </c>
      <c r="J250" s="4">
        <v>1</v>
      </c>
      <c r="K250" s="4">
        <f t="shared" si="12"/>
        <v>3</v>
      </c>
      <c r="L250" s="4">
        <f t="shared" si="13"/>
        <v>6</v>
      </c>
      <c r="M250" s="4">
        <v>8.1803228397277099</v>
      </c>
      <c r="N250" s="4">
        <v>33.715954653701168</v>
      </c>
      <c r="O250" s="4">
        <v>167.8003110929306</v>
      </c>
      <c r="X250" s="22">
        <f t="shared" si="14"/>
        <v>152.40855341472709</v>
      </c>
      <c r="Y250" s="2">
        <f t="shared" si="15"/>
        <v>236.90620442453653</v>
      </c>
    </row>
    <row r="251" spans="1:25">
      <c r="A251" s="2" t="s">
        <v>6</v>
      </c>
      <c r="B251" s="2" t="s">
        <v>16</v>
      </c>
      <c r="C251" s="2">
        <v>4.9202498333163973</v>
      </c>
      <c r="D251" s="2">
        <v>160.90002588438699</v>
      </c>
      <c r="E251" s="2">
        <v>292.72692201382279</v>
      </c>
      <c r="J251" s="4">
        <v>1</v>
      </c>
      <c r="K251" s="4">
        <f t="shared" si="12"/>
        <v>3</v>
      </c>
      <c r="L251" s="4">
        <f t="shared" si="13"/>
        <v>5</v>
      </c>
      <c r="M251" s="4">
        <v>4.9202498333163973</v>
      </c>
      <c r="N251" s="4">
        <v>160.90002588438699</v>
      </c>
      <c r="O251" s="4">
        <v>292.72692201382279</v>
      </c>
      <c r="X251" s="22">
        <f t="shared" si="14"/>
        <v>301.40967407598026</v>
      </c>
      <c r="Y251" s="2">
        <f t="shared" si="15"/>
        <v>75.390183372899912</v>
      </c>
    </row>
    <row r="252" spans="1:25">
      <c r="A252" s="2" t="s">
        <v>10</v>
      </c>
      <c r="B252" s="2" t="s">
        <v>14</v>
      </c>
      <c r="C252" s="2">
        <v>8.3605079455751934</v>
      </c>
      <c r="D252" s="2">
        <v>62.395837967757821</v>
      </c>
      <c r="E252" s="2">
        <v>146.06323696967999</v>
      </c>
      <c r="J252" s="4">
        <v>1</v>
      </c>
      <c r="K252" s="4">
        <f t="shared" si="12"/>
        <v>6</v>
      </c>
      <c r="L252" s="4">
        <f t="shared" si="13"/>
        <v>3</v>
      </c>
      <c r="M252" s="4">
        <v>8.3605079455751934</v>
      </c>
      <c r="N252" s="4">
        <v>62.395837967757821</v>
      </c>
      <c r="O252" s="4">
        <v>146.06323696967999</v>
      </c>
      <c r="X252" s="22">
        <f t="shared" si="14"/>
        <v>195.5463549383058</v>
      </c>
      <c r="Y252" s="2">
        <f t="shared" si="15"/>
        <v>2448.5789638969381</v>
      </c>
    </row>
    <row r="253" spans="1:25">
      <c r="A253" s="2" t="s">
        <v>5</v>
      </c>
      <c r="B253" s="2" t="s">
        <v>15</v>
      </c>
      <c r="C253" s="2">
        <v>2.0818814983354761</v>
      </c>
      <c r="D253" s="2">
        <v>176.64721039345591</v>
      </c>
      <c r="E253" s="2">
        <v>288.78034212179563</v>
      </c>
      <c r="J253" s="4">
        <v>1</v>
      </c>
      <c r="K253" s="4">
        <f t="shared" si="12"/>
        <v>1</v>
      </c>
      <c r="L253" s="4">
        <f t="shared" si="13"/>
        <v>4</v>
      </c>
      <c r="M253" s="4">
        <v>2.0818814983354761</v>
      </c>
      <c r="N253" s="4">
        <v>176.64721039345591</v>
      </c>
      <c r="O253" s="4">
        <v>288.78034212179563</v>
      </c>
      <c r="X253" s="22">
        <f t="shared" si="14"/>
        <v>291.4113220723803</v>
      </c>
      <c r="Y253" s="2">
        <f t="shared" si="15"/>
        <v>6.9220555003785336</v>
      </c>
    </row>
    <row r="254" spans="1:25">
      <c r="A254" s="2" t="s">
        <v>9</v>
      </c>
      <c r="B254" s="2" t="s">
        <v>12</v>
      </c>
      <c r="C254" s="2">
        <v>5.900401881647646</v>
      </c>
      <c r="D254" s="2">
        <v>189.36799782682559</v>
      </c>
      <c r="E254" s="2">
        <v>346.67286439355058</v>
      </c>
      <c r="J254" s="4">
        <v>1</v>
      </c>
      <c r="K254" s="4">
        <f t="shared" si="12"/>
        <v>5</v>
      </c>
      <c r="L254" s="4">
        <f t="shared" si="13"/>
        <v>1</v>
      </c>
      <c r="M254" s="4">
        <v>5.900401881647646</v>
      </c>
      <c r="N254" s="4">
        <v>189.36799782682559</v>
      </c>
      <c r="O254" s="4">
        <v>346.67286439355058</v>
      </c>
      <c r="X254" s="22">
        <f t="shared" si="14"/>
        <v>354.92923182230675</v>
      </c>
      <c r="Y254" s="2">
        <f t="shared" si="15"/>
        <v>68.167603118625664</v>
      </c>
    </row>
    <row r="255" spans="1:25">
      <c r="A255" s="2" t="s">
        <v>8</v>
      </c>
      <c r="B255" s="2" t="s">
        <v>14</v>
      </c>
      <c r="C255" s="2">
        <v>1.051827944483094</v>
      </c>
      <c r="D255" s="2">
        <v>38.271234186971967</v>
      </c>
      <c r="E255" s="2">
        <v>67.36649909414281</v>
      </c>
      <c r="J255" s="4">
        <v>1</v>
      </c>
      <c r="K255" s="4">
        <f t="shared" si="12"/>
        <v>4</v>
      </c>
      <c r="L255" s="4">
        <f t="shared" si="13"/>
        <v>3</v>
      </c>
      <c r="M255" s="4">
        <v>1.051827944483094</v>
      </c>
      <c r="N255" s="4">
        <v>38.271234186971967</v>
      </c>
      <c r="O255" s="4">
        <v>67.36649909414281</v>
      </c>
      <c r="X255" s="22">
        <f t="shared" si="14"/>
        <v>71.107215723519175</v>
      </c>
      <c r="Y255" s="2">
        <f t="shared" si="15"/>
        <v>13.992960901292875</v>
      </c>
    </row>
    <row r="256" spans="1:25">
      <c r="A256" s="2" t="s">
        <v>11</v>
      </c>
      <c r="B256" s="2" t="s">
        <v>12</v>
      </c>
      <c r="C256" s="2">
        <v>3.921272469102433</v>
      </c>
      <c r="D256" s="2">
        <v>97.90836496242477</v>
      </c>
      <c r="E256" s="2">
        <v>195.93492117403301</v>
      </c>
      <c r="J256" s="4">
        <v>1</v>
      </c>
      <c r="K256" s="4">
        <f t="shared" si="12"/>
        <v>7</v>
      </c>
      <c r="L256" s="4">
        <f t="shared" si="13"/>
        <v>1</v>
      </c>
      <c r="M256" s="4">
        <v>3.921272469102433</v>
      </c>
      <c r="N256" s="4">
        <v>97.90836496242477</v>
      </c>
      <c r="O256" s="4">
        <v>195.93492117403301</v>
      </c>
      <c r="X256" s="22">
        <f t="shared" si="14"/>
        <v>193.2273165242693</v>
      </c>
      <c r="Y256" s="2">
        <f t="shared" si="15"/>
        <v>7.3311229394220598</v>
      </c>
    </row>
    <row r="257" spans="1:25">
      <c r="A257" s="2" t="s">
        <v>7</v>
      </c>
      <c r="B257" s="2" t="s">
        <v>17</v>
      </c>
      <c r="C257" s="2">
        <v>4.298153813842581</v>
      </c>
      <c r="D257" s="2">
        <v>196.38760185091019</v>
      </c>
      <c r="E257" s="2">
        <v>378.07648243339111</v>
      </c>
      <c r="J257" s="4">
        <v>1</v>
      </c>
      <c r="K257" s="4">
        <f t="shared" si="12"/>
        <v>2</v>
      </c>
      <c r="L257" s="4">
        <f t="shared" si="13"/>
        <v>6</v>
      </c>
      <c r="M257" s="4">
        <v>4.298153813842581</v>
      </c>
      <c r="N257" s="4">
        <v>196.38760185091019</v>
      </c>
      <c r="O257" s="4">
        <v>378.07648243339111</v>
      </c>
      <c r="X257" s="22">
        <f t="shared" si="14"/>
        <v>347.05417089675768</v>
      </c>
      <c r="Y257" s="2">
        <f t="shared" si="15"/>
        <v>962.3838130759392</v>
      </c>
    </row>
    <row r="258" spans="1:25">
      <c r="A258" s="2" t="s">
        <v>11</v>
      </c>
      <c r="B258" s="2" t="s">
        <v>13</v>
      </c>
      <c r="C258" s="2">
        <v>4.5655542244832983</v>
      </c>
      <c r="D258" s="2">
        <v>101.8474128348979</v>
      </c>
      <c r="E258" s="2">
        <v>166.8136694122457</v>
      </c>
      <c r="J258" s="4">
        <v>1</v>
      </c>
      <c r="K258" s="4">
        <f t="shared" si="12"/>
        <v>7</v>
      </c>
      <c r="L258" s="4">
        <f t="shared" si="13"/>
        <v>2</v>
      </c>
      <c r="M258" s="4">
        <v>4.5655542244832983</v>
      </c>
      <c r="N258" s="4">
        <v>101.8474128348979</v>
      </c>
      <c r="O258" s="4">
        <v>166.8136694122457</v>
      </c>
      <c r="X258" s="22">
        <f t="shared" si="14"/>
        <v>206.87575498249868</v>
      </c>
      <c r="Y258" s="2">
        <f t="shared" si="15"/>
        <v>1604.9707002382715</v>
      </c>
    </row>
    <row r="259" spans="1:25">
      <c r="A259" s="2" t="s">
        <v>11</v>
      </c>
      <c r="B259" s="2" t="s">
        <v>15</v>
      </c>
      <c r="C259" s="2">
        <v>7.2592048602087598</v>
      </c>
      <c r="D259" s="2">
        <v>174.0740292777636</v>
      </c>
      <c r="E259" s="2">
        <v>296.88515548541579</v>
      </c>
      <c r="J259" s="4">
        <v>1</v>
      </c>
      <c r="K259" s="4">
        <f t="shared" si="12"/>
        <v>7</v>
      </c>
      <c r="L259" s="4">
        <f t="shared" si="13"/>
        <v>4</v>
      </c>
      <c r="M259" s="4">
        <v>7.2592048602087598</v>
      </c>
      <c r="N259" s="4">
        <v>174.0740292777636</v>
      </c>
      <c r="O259" s="4">
        <v>296.88515548541579</v>
      </c>
      <c r="X259" s="22">
        <f t="shared" si="14"/>
        <v>347.10302409158425</v>
      </c>
      <c r="Y259" s="2">
        <f t="shared" si="15"/>
        <v>2521.8343273463988</v>
      </c>
    </row>
    <row r="260" spans="1:25">
      <c r="A260" s="2" t="s">
        <v>8</v>
      </c>
      <c r="B260" s="2" t="s">
        <v>17</v>
      </c>
      <c r="C260" s="2">
        <v>4.4970229114331124</v>
      </c>
      <c r="D260" s="2">
        <v>121.8589892049508</v>
      </c>
      <c r="E260" s="2">
        <v>228.77963828569671</v>
      </c>
      <c r="J260" s="4">
        <v>1</v>
      </c>
      <c r="K260" s="4">
        <f t="shared" ref="K260:K323" si="16">VLOOKUP(A260, $F$3:$G$9, 2, FALSE)</f>
        <v>4</v>
      </c>
      <c r="L260" s="4">
        <f t="shared" ref="L260:L323" si="17">VLOOKUP(B260, $H$3:$I$8, 2, FALSE)</f>
        <v>6</v>
      </c>
      <c r="M260" s="4">
        <v>4.4970229114331124</v>
      </c>
      <c r="N260" s="4">
        <v>121.8589892049508</v>
      </c>
      <c r="O260" s="4">
        <v>228.77963828569671</v>
      </c>
      <c r="X260" s="22">
        <f t="shared" ref="X260:X323" si="18">$U$16+$U$17*K260+$U$18*L260+$U$19*M260+$U$20*N260</f>
        <v>237.3336893082267</v>
      </c>
      <c r="Y260" s="2">
        <f t="shared" ref="Y260:Y323" si="19">POWER(O260-X260,2)</f>
        <v>73.171788896046365</v>
      </c>
    </row>
    <row r="261" spans="1:25">
      <c r="A261" s="2" t="s">
        <v>11</v>
      </c>
      <c r="B261" s="2" t="s">
        <v>14</v>
      </c>
      <c r="C261" s="2">
        <v>5.0382426036027761</v>
      </c>
      <c r="D261" s="2">
        <v>81.31268250472435</v>
      </c>
      <c r="E261" s="2">
        <v>199.3391986630063</v>
      </c>
      <c r="J261" s="4">
        <v>1</v>
      </c>
      <c r="K261" s="4">
        <f t="shared" si="16"/>
        <v>7</v>
      </c>
      <c r="L261" s="4">
        <f t="shared" si="17"/>
        <v>3</v>
      </c>
      <c r="M261" s="4">
        <v>5.0382426036027761</v>
      </c>
      <c r="N261" s="4">
        <v>81.31268250472435</v>
      </c>
      <c r="O261" s="4">
        <v>199.3391986630063</v>
      </c>
      <c r="X261" s="22">
        <f t="shared" si="18"/>
        <v>182.04086634737547</v>
      </c>
      <c r="Y261" s="2">
        <f t="shared" si="19"/>
        <v>299.23230090199786</v>
      </c>
    </row>
    <row r="262" spans="1:25">
      <c r="A262" s="2" t="s">
        <v>9</v>
      </c>
      <c r="B262" s="2" t="s">
        <v>14</v>
      </c>
      <c r="C262" s="2">
        <v>3.1378971778689468</v>
      </c>
      <c r="D262" s="2">
        <v>64.298875549915337</v>
      </c>
      <c r="E262" s="2">
        <v>121.6137420651596</v>
      </c>
      <c r="J262" s="4">
        <v>1</v>
      </c>
      <c r="K262" s="4">
        <f t="shared" si="16"/>
        <v>5</v>
      </c>
      <c r="L262" s="4">
        <f t="shared" si="17"/>
        <v>3</v>
      </c>
      <c r="M262" s="4">
        <v>3.1378971778689468</v>
      </c>
      <c r="N262" s="4">
        <v>64.298875549915337</v>
      </c>
      <c r="O262" s="4">
        <v>121.6137420651596</v>
      </c>
      <c r="X262" s="22">
        <f t="shared" si="18"/>
        <v>134.76851418435913</v>
      </c>
      <c r="Y262" s="2">
        <f t="shared" si="19"/>
        <v>173.04802950806942</v>
      </c>
    </row>
    <row r="263" spans="1:25">
      <c r="A263" s="2" t="s">
        <v>9</v>
      </c>
      <c r="B263" s="2" t="s">
        <v>14</v>
      </c>
      <c r="C263" s="2">
        <v>4.3592661246640603</v>
      </c>
      <c r="D263" s="2">
        <v>48.612387306356581</v>
      </c>
      <c r="E263" s="2">
        <v>146.7965512463779</v>
      </c>
      <c r="J263" s="4">
        <v>1</v>
      </c>
      <c r="K263" s="4">
        <f t="shared" si="16"/>
        <v>5</v>
      </c>
      <c r="L263" s="4">
        <f t="shared" si="17"/>
        <v>3</v>
      </c>
      <c r="M263" s="4">
        <v>4.3592661246640603</v>
      </c>
      <c r="N263" s="4">
        <v>48.612387306356581</v>
      </c>
      <c r="O263" s="4">
        <v>146.7965512463779</v>
      </c>
      <c r="X263" s="22">
        <f t="shared" si="18"/>
        <v>126.49717026074234</v>
      </c>
      <c r="Y263" s="2">
        <f t="shared" si="19"/>
        <v>412.06486839998274</v>
      </c>
    </row>
    <row r="264" spans="1:25">
      <c r="A264" s="2" t="s">
        <v>6</v>
      </c>
      <c r="B264" s="2" t="s">
        <v>14</v>
      </c>
      <c r="C264" s="2">
        <v>3.0454266453683632</v>
      </c>
      <c r="D264" s="2">
        <v>154.74165636176249</v>
      </c>
      <c r="E264" s="2">
        <v>299.91255973725379</v>
      </c>
      <c r="J264" s="4">
        <v>1</v>
      </c>
      <c r="K264" s="4">
        <f t="shared" si="16"/>
        <v>3</v>
      </c>
      <c r="L264" s="4">
        <f t="shared" si="17"/>
        <v>3</v>
      </c>
      <c r="M264" s="4">
        <v>3.0454266453683632</v>
      </c>
      <c r="N264" s="4">
        <v>154.74165636176249</v>
      </c>
      <c r="O264" s="4">
        <v>299.91255973725379</v>
      </c>
      <c r="X264" s="22">
        <f t="shared" si="18"/>
        <v>269.44913067767675</v>
      </c>
      <c r="Y264" s="2">
        <f t="shared" si="19"/>
        <v>928.0205100678827</v>
      </c>
    </row>
    <row r="265" spans="1:25">
      <c r="A265" s="2" t="s">
        <v>10</v>
      </c>
      <c r="B265" s="2" t="s">
        <v>14</v>
      </c>
      <c r="C265" s="2">
        <v>1.658763313915993</v>
      </c>
      <c r="D265" s="2">
        <v>83.442696296375303</v>
      </c>
      <c r="E265" s="2">
        <v>167.02533317956761</v>
      </c>
      <c r="J265" s="4">
        <v>1</v>
      </c>
      <c r="K265" s="4">
        <f t="shared" si="16"/>
        <v>6</v>
      </c>
      <c r="L265" s="4">
        <f t="shared" si="17"/>
        <v>3</v>
      </c>
      <c r="M265" s="4">
        <v>1.658763313915993</v>
      </c>
      <c r="N265" s="4">
        <v>83.442696296375303</v>
      </c>
      <c r="O265" s="4">
        <v>167.02533317956761</v>
      </c>
      <c r="X265" s="22">
        <f t="shared" si="18"/>
        <v>144.29708242346433</v>
      </c>
      <c r="Y265" s="2">
        <f t="shared" si="19"/>
        <v>516.57338243230924</v>
      </c>
    </row>
    <row r="266" spans="1:25">
      <c r="A266" s="2" t="s">
        <v>5</v>
      </c>
      <c r="B266" s="2" t="s">
        <v>12</v>
      </c>
      <c r="C266" s="2">
        <v>6.4310373404324013</v>
      </c>
      <c r="D266" s="2">
        <v>107.14233781814271</v>
      </c>
      <c r="E266" s="2">
        <v>273.28113908592269</v>
      </c>
      <c r="J266" s="4">
        <v>1</v>
      </c>
      <c r="K266" s="4">
        <f t="shared" si="16"/>
        <v>1</v>
      </c>
      <c r="L266" s="4">
        <f t="shared" si="17"/>
        <v>1</v>
      </c>
      <c r="M266" s="4">
        <v>6.4310373404324013</v>
      </c>
      <c r="N266" s="4">
        <v>107.14233781814271</v>
      </c>
      <c r="O266" s="4">
        <v>273.28113908592269</v>
      </c>
      <c r="X266" s="22">
        <f t="shared" si="18"/>
        <v>242.09475463397627</v>
      </c>
      <c r="Y266" s="2">
        <f t="shared" si="19"/>
        <v>972.59057518460565</v>
      </c>
    </row>
    <row r="267" spans="1:25">
      <c r="A267" s="2" t="s">
        <v>7</v>
      </c>
      <c r="B267" s="2" t="s">
        <v>17</v>
      </c>
      <c r="C267" s="2">
        <v>7.0139151869951464</v>
      </c>
      <c r="D267" s="2">
        <v>103.5418412002246</v>
      </c>
      <c r="E267" s="2">
        <v>247.44848027081781</v>
      </c>
      <c r="J267" s="4">
        <v>1</v>
      </c>
      <c r="K267" s="4">
        <f t="shared" si="16"/>
        <v>2</v>
      </c>
      <c r="L267" s="4">
        <f t="shared" si="17"/>
        <v>6</v>
      </c>
      <c r="M267" s="4">
        <v>7.0139151869951464</v>
      </c>
      <c r="N267" s="4">
        <v>103.5418412002246</v>
      </c>
      <c r="O267" s="4">
        <v>247.44848027081781</v>
      </c>
      <c r="X267" s="22">
        <f t="shared" si="18"/>
        <v>242.51934387668086</v>
      </c>
      <c r="Y267" s="2">
        <f t="shared" si="19"/>
        <v>24.296385592005382</v>
      </c>
    </row>
    <row r="268" spans="1:25">
      <c r="A268" s="2" t="s">
        <v>11</v>
      </c>
      <c r="B268" s="2" t="s">
        <v>15</v>
      </c>
      <c r="C268" s="2">
        <v>6.5754131140865306</v>
      </c>
      <c r="D268" s="2">
        <v>119.6830155542949</v>
      </c>
      <c r="E268" s="2">
        <v>282.05400586035557</v>
      </c>
      <c r="J268" s="4">
        <v>1</v>
      </c>
      <c r="K268" s="4">
        <f t="shared" si="16"/>
        <v>7</v>
      </c>
      <c r="L268" s="4">
        <f t="shared" si="17"/>
        <v>4</v>
      </c>
      <c r="M268" s="4">
        <v>6.5754131140865306</v>
      </c>
      <c r="N268" s="4">
        <v>119.6830155542949</v>
      </c>
      <c r="O268" s="4">
        <v>282.05400586035557</v>
      </c>
      <c r="X268" s="22">
        <f t="shared" si="18"/>
        <v>257.85260240997479</v>
      </c>
      <c r="Y268" s="2">
        <f t="shared" si="19"/>
        <v>585.70792896810281</v>
      </c>
    </row>
    <row r="269" spans="1:25">
      <c r="A269" s="2" t="s">
        <v>11</v>
      </c>
      <c r="B269" s="2" t="s">
        <v>13</v>
      </c>
      <c r="C269" s="2">
        <v>5.1714463942051516</v>
      </c>
      <c r="D269" s="2">
        <v>174.4596576686649</v>
      </c>
      <c r="E269" s="2">
        <v>334.56311375477691</v>
      </c>
      <c r="J269" s="4">
        <v>1</v>
      </c>
      <c r="K269" s="4">
        <f t="shared" si="16"/>
        <v>7</v>
      </c>
      <c r="L269" s="4">
        <f t="shared" si="17"/>
        <v>2</v>
      </c>
      <c r="M269" s="4">
        <v>5.1714463942051516</v>
      </c>
      <c r="N269" s="4">
        <v>174.4596576686649</v>
      </c>
      <c r="O269" s="4">
        <v>334.56311375477691</v>
      </c>
      <c r="X269" s="22">
        <f t="shared" si="18"/>
        <v>322.24532925225139</v>
      </c>
      <c r="Y269" s="2">
        <f t="shared" si="19"/>
        <v>151.72781505065768</v>
      </c>
    </row>
    <row r="270" spans="1:25">
      <c r="A270" s="2" t="s">
        <v>8</v>
      </c>
      <c r="B270" s="2" t="s">
        <v>13</v>
      </c>
      <c r="C270" s="2">
        <v>4.4180720216130682</v>
      </c>
      <c r="D270" s="2">
        <v>196.34047528085159</v>
      </c>
      <c r="E270" s="2">
        <v>316.66789315861672</v>
      </c>
      <c r="J270" s="4">
        <v>1</v>
      </c>
      <c r="K270" s="4">
        <f t="shared" si="16"/>
        <v>4</v>
      </c>
      <c r="L270" s="4">
        <f t="shared" si="17"/>
        <v>2</v>
      </c>
      <c r="M270" s="4">
        <v>4.4180720216130682</v>
      </c>
      <c r="N270" s="4">
        <v>196.34047528085159</v>
      </c>
      <c r="O270" s="4">
        <v>316.66789315861672</v>
      </c>
      <c r="X270" s="22">
        <f t="shared" si="18"/>
        <v>347.60454901107181</v>
      </c>
      <c r="Y270" s="2">
        <f t="shared" si="19"/>
        <v>957.07667533324377</v>
      </c>
    </row>
    <row r="271" spans="1:25">
      <c r="A271" s="2" t="s">
        <v>10</v>
      </c>
      <c r="B271" s="2" t="s">
        <v>17</v>
      </c>
      <c r="C271" s="2">
        <v>8.7700028461464274</v>
      </c>
      <c r="D271" s="2">
        <v>87.440999629025214</v>
      </c>
      <c r="E271" s="2">
        <v>241.5575466816891</v>
      </c>
      <c r="J271" s="4">
        <v>1</v>
      </c>
      <c r="K271" s="4">
        <f t="shared" si="16"/>
        <v>6</v>
      </c>
      <c r="L271" s="4">
        <f t="shared" si="17"/>
        <v>6</v>
      </c>
      <c r="M271" s="4">
        <v>8.7700028461464274</v>
      </c>
      <c r="N271" s="4">
        <v>87.440999629025214</v>
      </c>
      <c r="O271" s="4">
        <v>241.5575466816891</v>
      </c>
      <c r="X271" s="22">
        <f t="shared" si="18"/>
        <v>237.39083194112885</v>
      </c>
      <c r="Y271" s="2">
        <f t="shared" si="19"/>
        <v>17.361511729202089</v>
      </c>
    </row>
    <row r="272" spans="1:25">
      <c r="A272" s="2" t="s">
        <v>9</v>
      </c>
      <c r="B272" s="2" t="s">
        <v>17</v>
      </c>
      <c r="C272" s="2">
        <v>5.6717360662259626</v>
      </c>
      <c r="D272" s="2">
        <v>167.22859520019759</v>
      </c>
      <c r="E272" s="2">
        <v>302.42024337605159</v>
      </c>
      <c r="J272" s="4">
        <v>1</v>
      </c>
      <c r="K272" s="4">
        <f t="shared" si="16"/>
        <v>5</v>
      </c>
      <c r="L272" s="4">
        <f t="shared" si="17"/>
        <v>6</v>
      </c>
      <c r="M272" s="4">
        <v>5.6717360662259626</v>
      </c>
      <c r="N272" s="4">
        <v>167.22859520019759</v>
      </c>
      <c r="O272" s="4">
        <v>302.42024337605159</v>
      </c>
      <c r="X272" s="22">
        <f t="shared" si="18"/>
        <v>318.51627646312562</v>
      </c>
      <c r="Y272" s="2">
        <f t="shared" si="19"/>
        <v>259.08228114018203</v>
      </c>
    </row>
    <row r="273" spans="1:25">
      <c r="A273" s="2" t="s">
        <v>7</v>
      </c>
      <c r="B273" s="2" t="s">
        <v>13</v>
      </c>
      <c r="C273" s="2">
        <v>5.3126368986675789</v>
      </c>
      <c r="D273" s="2">
        <v>155.26028098439639</v>
      </c>
      <c r="E273" s="2">
        <v>336.35002781502988</v>
      </c>
      <c r="J273" s="4">
        <v>1</v>
      </c>
      <c r="K273" s="4">
        <f t="shared" si="16"/>
        <v>2</v>
      </c>
      <c r="L273" s="4">
        <f t="shared" si="17"/>
        <v>2</v>
      </c>
      <c r="M273" s="4">
        <v>5.3126368986675789</v>
      </c>
      <c r="N273" s="4">
        <v>155.26028098439639</v>
      </c>
      <c r="O273" s="4">
        <v>336.35002781502988</v>
      </c>
      <c r="X273" s="22">
        <f t="shared" si="18"/>
        <v>298.9845056723795</v>
      </c>
      <c r="Y273" s="2">
        <f t="shared" si="19"/>
        <v>1396.1822449928957</v>
      </c>
    </row>
    <row r="274" spans="1:25">
      <c r="A274" s="2" t="s">
        <v>6</v>
      </c>
      <c r="B274" s="2" t="s">
        <v>13</v>
      </c>
      <c r="C274" s="2">
        <v>1.2307785922579211</v>
      </c>
      <c r="D274" s="2">
        <v>118.97050077655889</v>
      </c>
      <c r="E274" s="2">
        <v>224.8626566480666</v>
      </c>
      <c r="J274" s="4">
        <v>1</v>
      </c>
      <c r="K274" s="4">
        <f t="shared" si="16"/>
        <v>3</v>
      </c>
      <c r="L274" s="4">
        <f t="shared" si="17"/>
        <v>2</v>
      </c>
      <c r="M274" s="4">
        <v>1.2307785922579211</v>
      </c>
      <c r="N274" s="4">
        <v>118.97050077655889</v>
      </c>
      <c r="O274" s="4">
        <v>224.8626566480666</v>
      </c>
      <c r="X274" s="22">
        <f t="shared" si="18"/>
        <v>194.08308855716132</v>
      </c>
      <c r="Y274" s="2">
        <f t="shared" si="19"/>
        <v>947.38181186267491</v>
      </c>
    </row>
    <row r="275" spans="1:25">
      <c r="A275" s="2" t="s">
        <v>9</v>
      </c>
      <c r="B275" s="2" t="s">
        <v>12</v>
      </c>
      <c r="C275" s="2">
        <v>4.071230448635407</v>
      </c>
      <c r="D275" s="2">
        <v>191.64895728626729</v>
      </c>
      <c r="E275" s="2">
        <v>240.28634927403729</v>
      </c>
      <c r="J275" s="4">
        <v>1</v>
      </c>
      <c r="K275" s="4">
        <f t="shared" si="16"/>
        <v>5</v>
      </c>
      <c r="L275" s="4">
        <f t="shared" si="17"/>
        <v>1</v>
      </c>
      <c r="M275" s="4">
        <v>4.071230448635407</v>
      </c>
      <c r="N275" s="4">
        <v>191.64895728626729</v>
      </c>
      <c r="O275" s="4">
        <v>240.28634927403729</v>
      </c>
      <c r="X275" s="22">
        <f t="shared" si="18"/>
        <v>335.79410540430706</v>
      </c>
      <c r="Y275" s="2">
        <f t="shared" si="19"/>
        <v>9121.7314810390835</v>
      </c>
    </row>
    <row r="276" spans="1:25">
      <c r="A276" s="2" t="s">
        <v>10</v>
      </c>
      <c r="B276" s="2" t="s">
        <v>16</v>
      </c>
      <c r="C276" s="2">
        <v>4.4217605690727133</v>
      </c>
      <c r="D276" s="2">
        <v>48.090157950396531</v>
      </c>
      <c r="E276" s="2">
        <v>149.03257831244639</v>
      </c>
      <c r="J276" s="4">
        <v>1</v>
      </c>
      <c r="K276" s="4">
        <f t="shared" si="16"/>
        <v>6</v>
      </c>
      <c r="L276" s="4">
        <f t="shared" si="17"/>
        <v>5</v>
      </c>
      <c r="M276" s="4">
        <v>4.4217605690727133</v>
      </c>
      <c r="N276" s="4">
        <v>48.090157950396531</v>
      </c>
      <c r="O276" s="4">
        <v>149.03257831244639</v>
      </c>
      <c r="X276" s="22">
        <f t="shared" si="18"/>
        <v>125.50577890834344</v>
      </c>
      <c r="Y276" s="2">
        <f t="shared" si="19"/>
        <v>553.51029020089868</v>
      </c>
    </row>
    <row r="277" spans="1:25">
      <c r="A277" s="2" t="s">
        <v>5</v>
      </c>
      <c r="B277" s="2" t="s">
        <v>15</v>
      </c>
      <c r="C277" s="2">
        <v>4.5894050280721039</v>
      </c>
      <c r="D277" s="2">
        <v>30.760199958828071</v>
      </c>
      <c r="E277" s="2">
        <v>83.543015933175724</v>
      </c>
      <c r="J277" s="4">
        <v>1</v>
      </c>
      <c r="K277" s="4">
        <f t="shared" si="16"/>
        <v>1</v>
      </c>
      <c r="L277" s="4">
        <f t="shared" si="17"/>
        <v>4</v>
      </c>
      <c r="M277" s="4">
        <v>4.5894050280721039</v>
      </c>
      <c r="N277" s="4">
        <v>30.760199958828071</v>
      </c>
      <c r="O277" s="4">
        <v>83.543015933175724</v>
      </c>
      <c r="X277" s="22">
        <f t="shared" si="18"/>
        <v>105.48802804400297</v>
      </c>
      <c r="Y277" s="2">
        <f t="shared" si="19"/>
        <v>481.58355654435468</v>
      </c>
    </row>
    <row r="278" spans="1:25">
      <c r="A278" s="2" t="s">
        <v>6</v>
      </c>
      <c r="B278" s="2" t="s">
        <v>14</v>
      </c>
      <c r="C278" s="2">
        <v>6.2215513230459907</v>
      </c>
      <c r="D278" s="2">
        <v>172.25277372153019</v>
      </c>
      <c r="E278" s="2">
        <v>407.40370336913588</v>
      </c>
      <c r="J278" s="4">
        <v>1</v>
      </c>
      <c r="K278" s="4">
        <f t="shared" si="16"/>
        <v>3</v>
      </c>
      <c r="L278" s="4">
        <f t="shared" si="17"/>
        <v>3</v>
      </c>
      <c r="M278" s="4">
        <v>6.2215513230459907</v>
      </c>
      <c r="N278" s="4">
        <v>172.25277372153019</v>
      </c>
      <c r="O278" s="4">
        <v>407.40370336913588</v>
      </c>
      <c r="X278" s="22">
        <f t="shared" si="18"/>
        <v>334.58379967282553</v>
      </c>
      <c r="Y278" s="2">
        <f t="shared" si="19"/>
        <v>5302.7383743399132</v>
      </c>
    </row>
    <row r="279" spans="1:25">
      <c r="A279" s="2" t="s">
        <v>5</v>
      </c>
      <c r="B279" s="2" t="s">
        <v>16</v>
      </c>
      <c r="C279" s="2">
        <v>5.8024229205419058</v>
      </c>
      <c r="D279" s="2">
        <v>93.438465160412179</v>
      </c>
      <c r="E279" s="2">
        <v>168.61094239592489</v>
      </c>
      <c r="J279" s="4">
        <v>1</v>
      </c>
      <c r="K279" s="4">
        <f t="shared" si="16"/>
        <v>1</v>
      </c>
      <c r="L279" s="4">
        <f t="shared" si="17"/>
        <v>5</v>
      </c>
      <c r="M279" s="4">
        <v>5.8024229205419058</v>
      </c>
      <c r="N279" s="4">
        <v>93.438465160412179</v>
      </c>
      <c r="O279" s="4">
        <v>168.61094239592489</v>
      </c>
      <c r="X279" s="22">
        <f t="shared" si="18"/>
        <v>213.43189734132591</v>
      </c>
      <c r="Y279" s="2">
        <f t="shared" si="19"/>
        <v>2008.9180022176674</v>
      </c>
    </row>
    <row r="280" spans="1:25">
      <c r="A280" s="2" t="s">
        <v>8</v>
      </c>
      <c r="B280" s="2" t="s">
        <v>17</v>
      </c>
      <c r="C280" s="2">
        <v>6.4711458351410016</v>
      </c>
      <c r="D280" s="2">
        <v>170.92408229934151</v>
      </c>
      <c r="E280" s="2">
        <v>383.43663313137489</v>
      </c>
      <c r="J280" s="4">
        <v>1</v>
      </c>
      <c r="K280" s="4">
        <f t="shared" si="16"/>
        <v>4</v>
      </c>
      <c r="L280" s="4">
        <f t="shared" si="17"/>
        <v>6</v>
      </c>
      <c r="M280" s="4">
        <v>6.4711458351410016</v>
      </c>
      <c r="N280" s="4">
        <v>170.92408229934151</v>
      </c>
      <c r="O280" s="4">
        <v>383.43663313137489</v>
      </c>
      <c r="X280" s="22">
        <f t="shared" si="18"/>
        <v>334.55874081262311</v>
      </c>
      <c r="Y280" s="2">
        <f t="shared" si="19"/>
        <v>2389.0483575234939</v>
      </c>
    </row>
    <row r="281" spans="1:25">
      <c r="A281" s="2" t="s">
        <v>8</v>
      </c>
      <c r="B281" s="2" t="s">
        <v>13</v>
      </c>
      <c r="C281" s="2">
        <v>7.8839493538791547</v>
      </c>
      <c r="D281" s="2">
        <v>179.6871389871288</v>
      </c>
      <c r="E281" s="2">
        <v>351.19844793121558</v>
      </c>
      <c r="J281" s="4">
        <v>1</v>
      </c>
      <c r="K281" s="4">
        <f t="shared" si="16"/>
        <v>4</v>
      </c>
      <c r="L281" s="4">
        <f t="shared" si="17"/>
        <v>2</v>
      </c>
      <c r="M281" s="4">
        <v>7.8839493538791547</v>
      </c>
      <c r="N281" s="4">
        <v>179.6871389871288</v>
      </c>
      <c r="O281" s="4">
        <v>351.19844793121558</v>
      </c>
      <c r="X281" s="22">
        <f t="shared" si="18"/>
        <v>365.53577772062818</v>
      </c>
      <c r="Y281" s="2">
        <f t="shared" si="19"/>
        <v>205.55902549037773</v>
      </c>
    </row>
    <row r="282" spans="1:25">
      <c r="A282" s="2" t="s">
        <v>11</v>
      </c>
      <c r="B282" s="2" t="s">
        <v>16</v>
      </c>
      <c r="C282" s="2">
        <v>8.3168716484448417</v>
      </c>
      <c r="D282" s="2">
        <v>21.866942787623572</v>
      </c>
      <c r="E282" s="2">
        <v>90.630703815935775</v>
      </c>
      <c r="J282" s="4">
        <v>1</v>
      </c>
      <c r="K282" s="4">
        <f t="shared" si="16"/>
        <v>7</v>
      </c>
      <c r="L282" s="4">
        <f t="shared" si="17"/>
        <v>5</v>
      </c>
      <c r="M282" s="4">
        <v>8.3168716484448417</v>
      </c>
      <c r="N282" s="4">
        <v>21.866942787623572</v>
      </c>
      <c r="O282" s="4">
        <v>90.630703815935775</v>
      </c>
      <c r="X282" s="22">
        <f t="shared" si="18"/>
        <v>133.79445830936635</v>
      </c>
      <c r="Y282" s="2">
        <f t="shared" si="19"/>
        <v>1863.1097019691481</v>
      </c>
    </row>
    <row r="283" spans="1:25">
      <c r="A283" s="2" t="s">
        <v>5</v>
      </c>
      <c r="B283" s="2" t="s">
        <v>15</v>
      </c>
      <c r="C283" s="2">
        <v>7.46310768603845</v>
      </c>
      <c r="D283" s="2">
        <v>177.8583049673515</v>
      </c>
      <c r="E283" s="2">
        <v>321.94510777075089</v>
      </c>
      <c r="J283" s="4">
        <v>1</v>
      </c>
      <c r="K283" s="4">
        <f t="shared" si="16"/>
        <v>1</v>
      </c>
      <c r="L283" s="4">
        <f t="shared" si="17"/>
        <v>4</v>
      </c>
      <c r="M283" s="4">
        <v>7.46310768603845</v>
      </c>
      <c r="N283" s="4">
        <v>177.8583049673515</v>
      </c>
      <c r="O283" s="4">
        <v>321.94510777075089</v>
      </c>
      <c r="X283" s="22">
        <f t="shared" si="18"/>
        <v>359.47678972652056</v>
      </c>
      <c r="Y283" s="2">
        <f t="shared" si="19"/>
        <v>1408.6271504290467</v>
      </c>
    </row>
    <row r="284" spans="1:25">
      <c r="A284" s="2" t="s">
        <v>10</v>
      </c>
      <c r="B284" s="2" t="s">
        <v>17</v>
      </c>
      <c r="C284" s="2">
        <v>9.5997132635944116</v>
      </c>
      <c r="D284" s="2">
        <v>95.180620520190217</v>
      </c>
      <c r="E284" s="2">
        <v>243.7343985513717</v>
      </c>
      <c r="J284" s="4">
        <v>1</v>
      </c>
      <c r="K284" s="4">
        <f t="shared" si="16"/>
        <v>6</v>
      </c>
      <c r="L284" s="4">
        <f t="shared" si="17"/>
        <v>6</v>
      </c>
      <c r="M284" s="4">
        <v>9.5997132635944116</v>
      </c>
      <c r="N284" s="4">
        <v>95.180620520190217</v>
      </c>
      <c r="O284" s="4">
        <v>243.7343985513717</v>
      </c>
      <c r="X284" s="22">
        <f t="shared" si="18"/>
        <v>259.10986762871522</v>
      </c>
      <c r="Y284" s="2">
        <f t="shared" si="19"/>
        <v>236.40504934834692</v>
      </c>
    </row>
    <row r="285" spans="1:25">
      <c r="A285" s="2" t="s">
        <v>7</v>
      </c>
      <c r="B285" s="2" t="s">
        <v>14</v>
      </c>
      <c r="C285" s="2">
        <v>1.1640932440872549</v>
      </c>
      <c r="D285" s="2">
        <v>106.9821729108041</v>
      </c>
      <c r="E285" s="2">
        <v>187.6524374889861</v>
      </c>
      <c r="J285" s="4">
        <v>1</v>
      </c>
      <c r="K285" s="4">
        <f t="shared" si="16"/>
        <v>2</v>
      </c>
      <c r="L285" s="4">
        <f t="shared" si="17"/>
        <v>3</v>
      </c>
      <c r="M285" s="4">
        <v>1.1640932440872549</v>
      </c>
      <c r="N285" s="4">
        <v>106.9821729108041</v>
      </c>
      <c r="O285" s="4">
        <v>187.6524374889861</v>
      </c>
      <c r="X285" s="22">
        <f t="shared" si="18"/>
        <v>176.01347980865364</v>
      </c>
      <c r="Y285" s="2">
        <f t="shared" si="19"/>
        <v>135.46533588456978</v>
      </c>
    </row>
    <row r="286" spans="1:25">
      <c r="A286" s="2" t="s">
        <v>6</v>
      </c>
      <c r="B286" s="2" t="s">
        <v>14</v>
      </c>
      <c r="C286" s="2">
        <v>2.7620018711519152</v>
      </c>
      <c r="D286" s="2">
        <v>129.05257710770999</v>
      </c>
      <c r="E286" s="2">
        <v>266.70169238215237</v>
      </c>
      <c r="J286" s="4">
        <v>1</v>
      </c>
      <c r="K286" s="4">
        <f t="shared" si="16"/>
        <v>3</v>
      </c>
      <c r="L286" s="4">
        <f t="shared" si="17"/>
        <v>3</v>
      </c>
      <c r="M286" s="4">
        <v>2.7620018711519152</v>
      </c>
      <c r="N286" s="4">
        <v>129.05257710770999</v>
      </c>
      <c r="O286" s="4">
        <v>266.70169238215237</v>
      </c>
      <c r="X286" s="22">
        <f t="shared" si="18"/>
        <v>227.78263657492522</v>
      </c>
      <c r="Y286" s="2">
        <f t="shared" si="19"/>
        <v>1514.6929049260616</v>
      </c>
    </row>
    <row r="287" spans="1:25">
      <c r="A287" s="2" t="s">
        <v>9</v>
      </c>
      <c r="B287" s="2" t="s">
        <v>15</v>
      </c>
      <c r="C287" s="2">
        <v>1.068065874803279</v>
      </c>
      <c r="D287" s="2">
        <v>186.01269527871651</v>
      </c>
      <c r="E287" s="2">
        <v>332.15172885501272</v>
      </c>
      <c r="J287" s="4">
        <v>1</v>
      </c>
      <c r="K287" s="4">
        <f t="shared" si="16"/>
        <v>5</v>
      </c>
      <c r="L287" s="4">
        <f t="shared" si="17"/>
        <v>4</v>
      </c>
      <c r="M287" s="4">
        <v>1.068065874803279</v>
      </c>
      <c r="N287" s="4">
        <v>186.01269527871651</v>
      </c>
      <c r="O287" s="4">
        <v>332.15172885501272</v>
      </c>
      <c r="X287" s="22">
        <f t="shared" si="18"/>
        <v>290.01888191007896</v>
      </c>
      <c r="Y287" s="2">
        <f t="shared" si="19"/>
        <v>1775.1767916852141</v>
      </c>
    </row>
    <row r="288" spans="1:25">
      <c r="A288" s="2" t="s">
        <v>10</v>
      </c>
      <c r="B288" s="2" t="s">
        <v>15</v>
      </c>
      <c r="C288" s="2">
        <v>6.8272724273914269</v>
      </c>
      <c r="D288" s="2">
        <v>13.632057941655169</v>
      </c>
      <c r="E288" s="2">
        <v>100.83933491011069</v>
      </c>
      <c r="J288" s="4">
        <v>1</v>
      </c>
      <c r="K288" s="4">
        <f t="shared" si="16"/>
        <v>6</v>
      </c>
      <c r="L288" s="4">
        <f t="shared" si="17"/>
        <v>4</v>
      </c>
      <c r="M288" s="4">
        <v>6.8272724273914269</v>
      </c>
      <c r="N288" s="4">
        <v>13.632057941655169</v>
      </c>
      <c r="O288" s="4">
        <v>100.83933491011069</v>
      </c>
      <c r="X288" s="22">
        <f t="shared" si="18"/>
        <v>104.05908795804564</v>
      </c>
      <c r="Y288" s="2">
        <f t="shared" si="19"/>
        <v>10.366809689686361</v>
      </c>
    </row>
    <row r="289" spans="1:25">
      <c r="A289" s="2" t="s">
        <v>10</v>
      </c>
      <c r="B289" s="2" t="s">
        <v>13</v>
      </c>
      <c r="C289" s="2">
        <v>9.0822749405498815</v>
      </c>
      <c r="D289" s="2">
        <v>100.60025898038521</v>
      </c>
      <c r="E289" s="2">
        <v>308.33063571022922</v>
      </c>
      <c r="J289" s="4">
        <v>1</v>
      </c>
      <c r="K289" s="4">
        <f t="shared" si="16"/>
        <v>6</v>
      </c>
      <c r="L289" s="4">
        <f t="shared" si="17"/>
        <v>2</v>
      </c>
      <c r="M289" s="4">
        <v>9.0822749405498815</v>
      </c>
      <c r="N289" s="4">
        <v>100.60025898038521</v>
      </c>
      <c r="O289" s="4">
        <v>308.33063571022922</v>
      </c>
      <c r="X289" s="22">
        <f t="shared" si="18"/>
        <v>261.34883084488411</v>
      </c>
      <c r="Y289" s="2">
        <f t="shared" si="19"/>
        <v>2207.2899884053654</v>
      </c>
    </row>
    <row r="290" spans="1:25">
      <c r="A290" s="2" t="s">
        <v>8</v>
      </c>
      <c r="B290" s="2" t="s">
        <v>14</v>
      </c>
      <c r="C290" s="2">
        <v>3.191340669186693</v>
      </c>
      <c r="D290" s="2">
        <v>140.66718806180651</v>
      </c>
      <c r="E290" s="2">
        <v>201.23736282624071</v>
      </c>
      <c r="J290" s="4">
        <v>1</v>
      </c>
      <c r="K290" s="4">
        <f t="shared" si="16"/>
        <v>4</v>
      </c>
      <c r="L290" s="4">
        <f t="shared" si="17"/>
        <v>3</v>
      </c>
      <c r="M290" s="4">
        <v>3.191340669186693</v>
      </c>
      <c r="N290" s="4">
        <v>140.66718806180651</v>
      </c>
      <c r="O290" s="4">
        <v>201.23736282624071</v>
      </c>
      <c r="X290" s="22">
        <f t="shared" si="18"/>
        <v>249.62348207514015</v>
      </c>
      <c r="Y290" s="2">
        <f t="shared" si="19"/>
        <v>2341.2165359687165</v>
      </c>
    </row>
    <row r="291" spans="1:25">
      <c r="A291" s="2" t="s">
        <v>5</v>
      </c>
      <c r="B291" s="2" t="s">
        <v>17</v>
      </c>
      <c r="C291" s="2">
        <v>9.3433109031667598</v>
      </c>
      <c r="D291" s="2">
        <v>147.3143219626634</v>
      </c>
      <c r="E291" s="2">
        <v>255.30151985510619</v>
      </c>
      <c r="J291" s="4">
        <v>1</v>
      </c>
      <c r="K291" s="4">
        <f t="shared" si="16"/>
        <v>1</v>
      </c>
      <c r="L291" s="4">
        <f t="shared" si="17"/>
        <v>6</v>
      </c>
      <c r="M291" s="4">
        <v>9.3433109031667598</v>
      </c>
      <c r="N291" s="4">
        <v>147.3143219626634</v>
      </c>
      <c r="O291" s="4">
        <v>255.30151985510619</v>
      </c>
      <c r="X291" s="22">
        <f t="shared" si="18"/>
        <v>336.96051099849888</v>
      </c>
      <c r="Y291" s="2">
        <f t="shared" si="19"/>
        <v>6668.1908345566844</v>
      </c>
    </row>
    <row r="292" spans="1:25">
      <c r="A292" s="2" t="s">
        <v>11</v>
      </c>
      <c r="B292" s="2" t="s">
        <v>16</v>
      </c>
      <c r="C292" s="2">
        <v>1.542406512606048</v>
      </c>
      <c r="D292" s="2">
        <v>141.58116199205051</v>
      </c>
      <c r="E292" s="2">
        <v>219.67515920196129</v>
      </c>
      <c r="J292" s="4">
        <v>1</v>
      </c>
      <c r="K292" s="4">
        <f t="shared" si="16"/>
        <v>7</v>
      </c>
      <c r="L292" s="4">
        <f t="shared" si="17"/>
        <v>5</v>
      </c>
      <c r="M292" s="4">
        <v>1.542406512606048</v>
      </c>
      <c r="N292" s="4">
        <v>141.58116199205051</v>
      </c>
      <c r="O292" s="4">
        <v>219.67515920196129</v>
      </c>
      <c r="X292" s="22">
        <f t="shared" si="18"/>
        <v>228.27846583641843</v>
      </c>
      <c r="Y292" s="2">
        <f t="shared" si="19"/>
        <v>74.016885046494252</v>
      </c>
    </row>
    <row r="293" spans="1:25">
      <c r="A293" s="2" t="s">
        <v>11</v>
      </c>
      <c r="B293" s="2" t="s">
        <v>17</v>
      </c>
      <c r="C293" s="2">
        <v>9.4099242412496285</v>
      </c>
      <c r="D293" s="2">
        <v>35.542674587543146</v>
      </c>
      <c r="E293" s="2">
        <v>179.90292843144019</v>
      </c>
      <c r="J293" s="4">
        <v>1</v>
      </c>
      <c r="K293" s="4">
        <f t="shared" si="16"/>
        <v>7</v>
      </c>
      <c r="L293" s="4">
        <f t="shared" si="17"/>
        <v>6</v>
      </c>
      <c r="M293" s="4">
        <v>9.4099242412496285</v>
      </c>
      <c r="N293" s="4">
        <v>35.542674587543146</v>
      </c>
      <c r="O293" s="4">
        <v>179.90292843144019</v>
      </c>
      <c r="X293" s="22">
        <f t="shared" si="18"/>
        <v>167.43877338368674</v>
      </c>
      <c r="Y293" s="2">
        <f t="shared" si="19"/>
        <v>155.35516105443781</v>
      </c>
    </row>
    <row r="294" spans="1:25">
      <c r="A294" s="2" t="s">
        <v>6</v>
      </c>
      <c r="B294" s="2" t="s">
        <v>12</v>
      </c>
      <c r="C294" s="2">
        <v>4.1646041851567102</v>
      </c>
      <c r="D294" s="2">
        <v>66.885161790619435</v>
      </c>
      <c r="E294" s="2">
        <v>177.17462078491889</v>
      </c>
      <c r="J294" s="4">
        <v>1</v>
      </c>
      <c r="K294" s="4">
        <f t="shared" si="16"/>
        <v>3</v>
      </c>
      <c r="L294" s="4">
        <f t="shared" si="17"/>
        <v>1</v>
      </c>
      <c r="M294" s="4">
        <v>4.1646041851567102</v>
      </c>
      <c r="N294" s="4">
        <v>66.885161790619435</v>
      </c>
      <c r="O294" s="4">
        <v>177.17462078491889</v>
      </c>
      <c r="X294" s="22">
        <f t="shared" si="18"/>
        <v>152.94647658898668</v>
      </c>
      <c r="Y294" s="2">
        <f t="shared" si="19"/>
        <v>587.00297117888329</v>
      </c>
    </row>
    <row r="295" spans="1:25">
      <c r="A295" s="2" t="s">
        <v>8</v>
      </c>
      <c r="B295" s="2" t="s">
        <v>12</v>
      </c>
      <c r="C295" s="2">
        <v>1.912787456042949</v>
      </c>
      <c r="D295" s="2">
        <v>78.155949829232554</v>
      </c>
      <c r="E295" s="2">
        <v>117.18712711247861</v>
      </c>
      <c r="J295" s="4">
        <v>1</v>
      </c>
      <c r="K295" s="4">
        <f t="shared" si="16"/>
        <v>4</v>
      </c>
      <c r="L295" s="4">
        <f t="shared" si="17"/>
        <v>1</v>
      </c>
      <c r="M295" s="4">
        <v>1.912787456042949</v>
      </c>
      <c r="N295" s="4">
        <v>78.155949829232554</v>
      </c>
      <c r="O295" s="4">
        <v>117.18712711247861</v>
      </c>
      <c r="X295" s="22">
        <f t="shared" si="18"/>
        <v>141.25999743490843</v>
      </c>
      <c r="Y295" s="2">
        <f t="shared" si="19"/>
        <v>579.50308556052244</v>
      </c>
    </row>
    <row r="296" spans="1:25">
      <c r="A296" s="2" t="s">
        <v>10</v>
      </c>
      <c r="B296" s="2" t="s">
        <v>15</v>
      </c>
      <c r="C296" s="2">
        <v>5.3728458326769308</v>
      </c>
      <c r="D296" s="2">
        <v>162.84306945910589</v>
      </c>
      <c r="E296" s="2">
        <v>303.16165545251698</v>
      </c>
      <c r="J296" s="4">
        <v>1</v>
      </c>
      <c r="K296" s="4">
        <f t="shared" si="16"/>
        <v>6</v>
      </c>
      <c r="L296" s="4">
        <f t="shared" si="17"/>
        <v>4</v>
      </c>
      <c r="M296" s="4">
        <v>5.3728458326769308</v>
      </c>
      <c r="N296" s="4">
        <v>162.84306945910589</v>
      </c>
      <c r="O296" s="4">
        <v>303.16165545251698</v>
      </c>
      <c r="X296" s="22">
        <f t="shared" si="18"/>
        <v>307.8902338159005</v>
      </c>
      <c r="Y296" s="2">
        <f t="shared" si="19"/>
        <v>22.359453338658763</v>
      </c>
    </row>
    <row r="297" spans="1:25">
      <c r="A297" s="2" t="s">
        <v>7</v>
      </c>
      <c r="B297" s="2" t="s">
        <v>13</v>
      </c>
      <c r="C297" s="2">
        <v>3.3109891094845709</v>
      </c>
      <c r="D297" s="2">
        <v>62.964375758765073</v>
      </c>
      <c r="E297" s="2">
        <v>128.9735344964304</v>
      </c>
      <c r="J297" s="4">
        <v>1</v>
      </c>
      <c r="K297" s="4">
        <f t="shared" si="16"/>
        <v>2</v>
      </c>
      <c r="L297" s="4">
        <f t="shared" si="17"/>
        <v>2</v>
      </c>
      <c r="M297" s="4">
        <v>3.3109891094845709</v>
      </c>
      <c r="N297" s="4">
        <v>62.964375758765073</v>
      </c>
      <c r="O297" s="4">
        <v>128.9735344964304</v>
      </c>
      <c r="X297" s="22">
        <f t="shared" si="18"/>
        <v>137.17554182940935</v>
      </c>
      <c r="Y297" s="2">
        <f t="shared" si="19"/>
        <v>67.272924290240482</v>
      </c>
    </row>
    <row r="298" spans="1:25">
      <c r="A298" s="2" t="s">
        <v>8</v>
      </c>
      <c r="B298" s="2" t="s">
        <v>12</v>
      </c>
      <c r="C298" s="2">
        <v>3.563856117657306</v>
      </c>
      <c r="D298" s="2">
        <v>50.033943134768599</v>
      </c>
      <c r="E298" s="2">
        <v>152.4510895240353</v>
      </c>
      <c r="J298" s="4">
        <v>1</v>
      </c>
      <c r="K298" s="4">
        <f t="shared" si="16"/>
        <v>4</v>
      </c>
      <c r="L298" s="4">
        <f t="shared" si="17"/>
        <v>1</v>
      </c>
      <c r="M298" s="4">
        <v>3.563856117657306</v>
      </c>
      <c r="N298" s="4">
        <v>50.033943134768599</v>
      </c>
      <c r="O298" s="4">
        <v>152.4510895240353</v>
      </c>
      <c r="X298" s="22">
        <f t="shared" si="18"/>
        <v>119.79975096268942</v>
      </c>
      <c r="Y298" s="2">
        <f t="shared" si="19"/>
        <v>1066.1099098476325</v>
      </c>
    </row>
    <row r="299" spans="1:25">
      <c r="A299" s="2" t="s">
        <v>6</v>
      </c>
      <c r="B299" s="2" t="s">
        <v>14</v>
      </c>
      <c r="C299" s="2">
        <v>3.7656096843365789</v>
      </c>
      <c r="D299" s="2">
        <v>191.91512361723829</v>
      </c>
      <c r="E299" s="2">
        <v>383.4673530328804</v>
      </c>
      <c r="J299" s="4">
        <v>1</v>
      </c>
      <c r="K299" s="4">
        <f t="shared" si="16"/>
        <v>3</v>
      </c>
      <c r="L299" s="4">
        <f t="shared" si="17"/>
        <v>3</v>
      </c>
      <c r="M299" s="4">
        <v>3.7656096843365789</v>
      </c>
      <c r="N299" s="4">
        <v>191.91512361723829</v>
      </c>
      <c r="O299" s="4">
        <v>383.4673530328804</v>
      </c>
      <c r="X299" s="22">
        <f t="shared" si="18"/>
        <v>333.56082485584966</v>
      </c>
      <c r="Y299" s="2">
        <f t="shared" si="19"/>
        <v>2490.6615546847629</v>
      </c>
    </row>
    <row r="300" spans="1:25">
      <c r="A300" s="2" t="s">
        <v>6</v>
      </c>
      <c r="B300" s="2" t="s">
        <v>17</v>
      </c>
      <c r="C300" s="2">
        <v>8.2272330804939706</v>
      </c>
      <c r="D300" s="2">
        <v>11.68402417155909</v>
      </c>
      <c r="E300" s="2">
        <v>117.41667035252971</v>
      </c>
      <c r="J300" s="4">
        <v>1</v>
      </c>
      <c r="K300" s="4">
        <f t="shared" si="16"/>
        <v>3</v>
      </c>
      <c r="L300" s="4">
        <f t="shared" si="17"/>
        <v>6</v>
      </c>
      <c r="M300" s="4">
        <v>8.2272330804939706</v>
      </c>
      <c r="N300" s="4">
        <v>11.68402417155909</v>
      </c>
      <c r="O300" s="4">
        <v>117.41667035252971</v>
      </c>
      <c r="X300" s="22">
        <f t="shared" si="18"/>
        <v>120.24474103527477</v>
      </c>
      <c r="Y300" s="2">
        <f t="shared" si="19"/>
        <v>7.9979837866021342</v>
      </c>
    </row>
    <row r="301" spans="1:25">
      <c r="A301" s="2" t="s">
        <v>8</v>
      </c>
      <c r="B301" s="2" t="s">
        <v>17</v>
      </c>
      <c r="C301" s="2">
        <v>5.8524514900772902</v>
      </c>
      <c r="D301" s="2">
        <v>199.58596257957589</v>
      </c>
      <c r="E301" s="2">
        <v>340.40415628165039</v>
      </c>
      <c r="J301" s="4">
        <v>1</v>
      </c>
      <c r="K301" s="4">
        <f t="shared" si="16"/>
        <v>4</v>
      </c>
      <c r="L301" s="4">
        <f t="shared" si="17"/>
        <v>6</v>
      </c>
      <c r="M301" s="4">
        <v>5.8524514900772902</v>
      </c>
      <c r="N301" s="4">
        <v>199.58596257957589</v>
      </c>
      <c r="O301" s="4">
        <v>340.40415628165039</v>
      </c>
      <c r="X301" s="22">
        <f t="shared" si="18"/>
        <v>369.53418633064456</v>
      </c>
      <c r="Y301" s="2">
        <f t="shared" si="19"/>
        <v>848.55865065530338</v>
      </c>
    </row>
    <row r="302" spans="1:25">
      <c r="A302" s="2" t="s">
        <v>6</v>
      </c>
      <c r="B302" s="2" t="s">
        <v>15</v>
      </c>
      <c r="C302" s="2">
        <v>3.8017692924040332</v>
      </c>
      <c r="D302" s="2">
        <v>138.5960467829052</v>
      </c>
      <c r="E302" s="2">
        <v>208.01441102731749</v>
      </c>
      <c r="J302" s="4">
        <v>1</v>
      </c>
      <c r="K302" s="4">
        <f t="shared" si="16"/>
        <v>3</v>
      </c>
      <c r="L302" s="4">
        <f t="shared" si="17"/>
        <v>4</v>
      </c>
      <c r="M302" s="4">
        <v>3.8017692924040332</v>
      </c>
      <c r="N302" s="4">
        <v>138.5960467829052</v>
      </c>
      <c r="O302" s="4">
        <v>208.01441102731749</v>
      </c>
      <c r="X302" s="22">
        <f t="shared" si="18"/>
        <v>254.62986391402268</v>
      </c>
      <c r="Y302" s="2">
        <f t="shared" si="19"/>
        <v>2173.0004478326309</v>
      </c>
    </row>
    <row r="303" spans="1:25">
      <c r="A303" s="2" t="s">
        <v>8</v>
      </c>
      <c r="B303" s="2" t="s">
        <v>16</v>
      </c>
      <c r="C303" s="2">
        <v>6.4930040497982651</v>
      </c>
      <c r="D303" s="2">
        <v>167.40916689533219</v>
      </c>
      <c r="E303" s="2">
        <v>330.76296696025878</v>
      </c>
      <c r="J303" s="4">
        <v>1</v>
      </c>
      <c r="K303" s="4">
        <f t="shared" si="16"/>
        <v>4</v>
      </c>
      <c r="L303" s="4">
        <f t="shared" si="17"/>
        <v>5</v>
      </c>
      <c r="M303" s="4">
        <v>6.4930040497982651</v>
      </c>
      <c r="N303" s="4">
        <v>167.40916689533219</v>
      </c>
      <c r="O303" s="4">
        <v>330.76296696025878</v>
      </c>
      <c r="X303" s="22">
        <f t="shared" si="18"/>
        <v>329.74360460730691</v>
      </c>
      <c r="Y303" s="2">
        <f t="shared" si="19"/>
        <v>1.0390996066155793</v>
      </c>
    </row>
    <row r="304" spans="1:25">
      <c r="A304" s="2" t="s">
        <v>9</v>
      </c>
      <c r="B304" s="2" t="s">
        <v>15</v>
      </c>
      <c r="C304" s="2">
        <v>7.4453560680087421</v>
      </c>
      <c r="D304" s="2">
        <v>65.977685305776703</v>
      </c>
      <c r="E304" s="2">
        <v>168.67385072502711</v>
      </c>
      <c r="J304" s="4">
        <v>1</v>
      </c>
      <c r="K304" s="4">
        <f t="shared" si="16"/>
        <v>5</v>
      </c>
      <c r="L304" s="4">
        <f t="shared" si="17"/>
        <v>4</v>
      </c>
      <c r="M304" s="4">
        <v>7.4453560680087421</v>
      </c>
      <c r="N304" s="4">
        <v>65.977685305776703</v>
      </c>
      <c r="O304" s="4">
        <v>168.67385072502711</v>
      </c>
      <c r="X304" s="22">
        <f t="shared" si="18"/>
        <v>190.1672452505108</v>
      </c>
      <c r="Y304" s="2">
        <f t="shared" si="19"/>
        <v>461.96600822809245</v>
      </c>
    </row>
    <row r="305" spans="1:25">
      <c r="A305" s="2" t="s">
        <v>8</v>
      </c>
      <c r="B305" s="2" t="s">
        <v>16</v>
      </c>
      <c r="C305" s="2">
        <v>3.4536160066018038</v>
      </c>
      <c r="D305" s="2">
        <v>12.7199027567414</v>
      </c>
      <c r="E305" s="2">
        <v>56.658045752659852</v>
      </c>
      <c r="J305" s="4">
        <v>1</v>
      </c>
      <c r="K305" s="4">
        <f t="shared" si="16"/>
        <v>4</v>
      </c>
      <c r="L305" s="4">
        <f t="shared" si="17"/>
        <v>5</v>
      </c>
      <c r="M305" s="4">
        <v>3.4536160066018038</v>
      </c>
      <c r="N305" s="4">
        <v>12.7199027567414</v>
      </c>
      <c r="O305" s="4">
        <v>56.658045752659852</v>
      </c>
      <c r="X305" s="22">
        <f t="shared" si="18"/>
        <v>62.433393617126718</v>
      </c>
      <c r="Y305" s="2">
        <f t="shared" si="19"/>
        <v>33.354642955601989</v>
      </c>
    </row>
    <row r="306" spans="1:25">
      <c r="A306" s="2" t="s">
        <v>5</v>
      </c>
      <c r="B306" s="2" t="s">
        <v>15</v>
      </c>
      <c r="C306" s="2">
        <v>4.7219419137281644</v>
      </c>
      <c r="D306" s="2">
        <v>150.19520852669069</v>
      </c>
      <c r="E306" s="2">
        <v>243.87983404151191</v>
      </c>
      <c r="J306" s="4">
        <v>1</v>
      </c>
      <c r="K306" s="4">
        <f t="shared" si="16"/>
        <v>1</v>
      </c>
      <c r="L306" s="4">
        <f t="shared" si="17"/>
        <v>4</v>
      </c>
      <c r="M306" s="4">
        <v>4.7219419137281644</v>
      </c>
      <c r="N306" s="4">
        <v>150.19520852669069</v>
      </c>
      <c r="O306" s="4">
        <v>243.87983404151191</v>
      </c>
      <c r="X306" s="22">
        <f t="shared" si="18"/>
        <v>284.61153070300423</v>
      </c>
      <c r="Y306" s="2">
        <f t="shared" si="19"/>
        <v>1659.0711129238248</v>
      </c>
    </row>
    <row r="307" spans="1:25">
      <c r="A307" s="2" t="s">
        <v>8</v>
      </c>
      <c r="B307" s="2" t="s">
        <v>15</v>
      </c>
      <c r="C307" s="2">
        <v>2.0969748400325279</v>
      </c>
      <c r="D307" s="2">
        <v>168.4874734301284</v>
      </c>
      <c r="E307" s="2">
        <v>246.27898219555189</v>
      </c>
      <c r="J307" s="4">
        <v>1</v>
      </c>
      <c r="K307" s="4">
        <f t="shared" si="16"/>
        <v>4</v>
      </c>
      <c r="L307" s="4">
        <f t="shared" si="17"/>
        <v>4</v>
      </c>
      <c r="M307" s="4">
        <v>2.0969748400325279</v>
      </c>
      <c r="N307" s="4">
        <v>168.4874734301284</v>
      </c>
      <c r="O307" s="4">
        <v>246.27898219555189</v>
      </c>
      <c r="X307" s="22">
        <f t="shared" si="18"/>
        <v>277.35152655121641</v>
      </c>
      <c r="Y307" s="2">
        <f t="shared" si="19"/>
        <v>965.50301273473895</v>
      </c>
    </row>
    <row r="308" spans="1:25">
      <c r="A308" s="2" t="s">
        <v>6</v>
      </c>
      <c r="B308" s="2" t="s">
        <v>15</v>
      </c>
      <c r="C308" s="2">
        <v>2.6303441458121228</v>
      </c>
      <c r="D308" s="2">
        <v>150.6904650711686</v>
      </c>
      <c r="E308" s="2">
        <v>230.80411913157189</v>
      </c>
      <c r="J308" s="4">
        <v>1</v>
      </c>
      <c r="K308" s="4">
        <f t="shared" si="16"/>
        <v>3</v>
      </c>
      <c r="L308" s="4">
        <f t="shared" si="17"/>
        <v>4</v>
      </c>
      <c r="M308" s="4">
        <v>2.6303441458121228</v>
      </c>
      <c r="N308" s="4">
        <v>150.6904650711686</v>
      </c>
      <c r="O308" s="4">
        <v>230.80411913157189</v>
      </c>
      <c r="X308" s="22">
        <f t="shared" si="18"/>
        <v>258.17808091733417</v>
      </c>
      <c r="Y308" s="2">
        <f t="shared" si="19"/>
        <v>749.3337838483734</v>
      </c>
    </row>
    <row r="309" spans="1:25">
      <c r="A309" s="2" t="s">
        <v>5</v>
      </c>
      <c r="B309" s="2" t="s">
        <v>16</v>
      </c>
      <c r="C309" s="2">
        <v>7.1300606856848452</v>
      </c>
      <c r="D309" s="2">
        <v>37.141554587159327</v>
      </c>
      <c r="E309" s="2">
        <v>141.22108423637479</v>
      </c>
      <c r="J309" s="4">
        <v>1</v>
      </c>
      <c r="K309" s="4">
        <f t="shared" si="16"/>
        <v>1</v>
      </c>
      <c r="L309" s="4">
        <f t="shared" si="17"/>
        <v>5</v>
      </c>
      <c r="M309" s="4">
        <v>7.1300606856848452</v>
      </c>
      <c r="N309" s="4">
        <v>37.141554587159327</v>
      </c>
      <c r="O309" s="4">
        <v>141.22108423637479</v>
      </c>
      <c r="X309" s="22">
        <f t="shared" si="18"/>
        <v>146.11834795317316</v>
      </c>
      <c r="Y309" s="2">
        <f t="shared" si="19"/>
        <v>23.983191911869721</v>
      </c>
    </row>
    <row r="310" spans="1:25">
      <c r="A310" s="2" t="s">
        <v>6</v>
      </c>
      <c r="B310" s="2" t="s">
        <v>16</v>
      </c>
      <c r="C310" s="2">
        <v>2.6329451292606429</v>
      </c>
      <c r="D310" s="2">
        <v>153.1513052288241</v>
      </c>
      <c r="E310" s="2">
        <v>265.45209504129872</v>
      </c>
      <c r="J310" s="4">
        <v>1</v>
      </c>
      <c r="K310" s="4">
        <f t="shared" si="16"/>
        <v>3</v>
      </c>
      <c r="L310" s="4">
        <f t="shared" si="17"/>
        <v>5</v>
      </c>
      <c r="M310" s="4">
        <v>2.6329451292606429</v>
      </c>
      <c r="N310" s="4">
        <v>153.1513052288241</v>
      </c>
      <c r="O310" s="4">
        <v>265.45209504129872</v>
      </c>
      <c r="X310" s="22">
        <f t="shared" si="18"/>
        <v>261.72796056378678</v>
      </c>
      <c r="Y310" s="2">
        <f t="shared" si="19"/>
        <v>13.869177606593121</v>
      </c>
    </row>
    <row r="311" spans="1:25">
      <c r="A311" s="2" t="s">
        <v>11</v>
      </c>
      <c r="B311" s="2" t="s">
        <v>15</v>
      </c>
      <c r="C311" s="2">
        <v>5.7264704530035413</v>
      </c>
      <c r="D311" s="2">
        <v>156.09532860045181</v>
      </c>
      <c r="E311" s="2">
        <v>224.42976704522329</v>
      </c>
      <c r="J311" s="4">
        <v>1</v>
      </c>
      <c r="K311" s="4">
        <f t="shared" si="16"/>
        <v>7</v>
      </c>
      <c r="L311" s="4">
        <f t="shared" si="17"/>
        <v>4</v>
      </c>
      <c r="M311" s="4">
        <v>5.7264704530035413</v>
      </c>
      <c r="N311" s="4">
        <v>156.09532860045181</v>
      </c>
      <c r="O311" s="4">
        <v>224.42976704522329</v>
      </c>
      <c r="X311" s="22">
        <f t="shared" si="18"/>
        <v>301.51057291641558</v>
      </c>
      <c r="Y311" s="2">
        <f t="shared" si="19"/>
        <v>5941.4506337524326</v>
      </c>
    </row>
    <row r="312" spans="1:25">
      <c r="A312" s="2" t="s">
        <v>11</v>
      </c>
      <c r="B312" s="2" t="s">
        <v>12</v>
      </c>
      <c r="C312" s="2">
        <v>7.3814163555018943</v>
      </c>
      <c r="D312" s="2">
        <v>135.12269797731039</v>
      </c>
      <c r="E312" s="2">
        <v>230.2907101778201</v>
      </c>
      <c r="J312" s="4">
        <v>1</v>
      </c>
      <c r="K312" s="4">
        <f t="shared" si="16"/>
        <v>7</v>
      </c>
      <c r="L312" s="4">
        <f t="shared" si="17"/>
        <v>1</v>
      </c>
      <c r="M312" s="4">
        <v>7.3814163555018943</v>
      </c>
      <c r="N312" s="4">
        <v>135.12269797731039</v>
      </c>
      <c r="O312" s="4">
        <v>230.2907101778201</v>
      </c>
      <c r="X312" s="22">
        <f t="shared" si="18"/>
        <v>291.14025552412016</v>
      </c>
      <c r="Y312" s="2">
        <f t="shared" si="19"/>
        <v>3702.6671688514275</v>
      </c>
    </row>
    <row r="313" spans="1:25">
      <c r="A313" s="2" t="s">
        <v>5</v>
      </c>
      <c r="B313" s="2" t="s">
        <v>13</v>
      </c>
      <c r="C313" s="2">
        <v>1.9618923078526951</v>
      </c>
      <c r="D313" s="2">
        <v>155.56202723116141</v>
      </c>
      <c r="E313" s="2">
        <v>288.48254381210239</v>
      </c>
      <c r="J313" s="4">
        <v>1</v>
      </c>
      <c r="K313" s="4">
        <f t="shared" si="16"/>
        <v>1</v>
      </c>
      <c r="L313" s="4">
        <f t="shared" si="17"/>
        <v>2</v>
      </c>
      <c r="M313" s="4">
        <v>1.9618923078526951</v>
      </c>
      <c r="N313" s="4">
        <v>155.56202723116141</v>
      </c>
      <c r="O313" s="4">
        <v>288.48254381210239</v>
      </c>
      <c r="X313" s="22">
        <f t="shared" si="18"/>
        <v>258.87759370588634</v>
      </c>
      <c r="Y313" s="2">
        <f t="shared" si="19"/>
        <v>876.45307079154179</v>
      </c>
    </row>
    <row r="314" spans="1:25">
      <c r="A314" s="2" t="s">
        <v>9</v>
      </c>
      <c r="B314" s="2" t="s">
        <v>13</v>
      </c>
      <c r="C314" s="2">
        <v>6.1058099766601321</v>
      </c>
      <c r="D314" s="2">
        <v>170.7250735387691</v>
      </c>
      <c r="E314" s="2">
        <v>263.78940920801188</v>
      </c>
      <c r="J314" s="4">
        <v>1</v>
      </c>
      <c r="K314" s="4">
        <f t="shared" si="16"/>
        <v>5</v>
      </c>
      <c r="L314" s="4">
        <f t="shared" si="17"/>
        <v>2</v>
      </c>
      <c r="M314" s="4">
        <v>6.1058099766601321</v>
      </c>
      <c r="N314" s="4">
        <v>170.7250735387691</v>
      </c>
      <c r="O314" s="4">
        <v>263.78940920801188</v>
      </c>
      <c r="X314" s="22">
        <f t="shared" si="18"/>
        <v>329.61438951726734</v>
      </c>
      <c r="Y314" s="2">
        <f t="shared" si="19"/>
        <v>4332.9280327138695</v>
      </c>
    </row>
    <row r="315" spans="1:25">
      <c r="A315" s="2" t="s">
        <v>11</v>
      </c>
      <c r="B315" s="2" t="s">
        <v>13</v>
      </c>
      <c r="C315" s="2">
        <v>3.3090650533122741</v>
      </c>
      <c r="D315" s="2">
        <v>126.58478170511709</v>
      </c>
      <c r="E315" s="2">
        <v>209.48971609247579</v>
      </c>
      <c r="J315" s="4">
        <v>1</v>
      </c>
      <c r="K315" s="4">
        <f t="shared" si="16"/>
        <v>7</v>
      </c>
      <c r="L315" s="4">
        <f t="shared" si="17"/>
        <v>2</v>
      </c>
      <c r="M315" s="4">
        <v>3.3090650533122741</v>
      </c>
      <c r="N315" s="4">
        <v>126.58478170511709</v>
      </c>
      <c r="O315" s="4">
        <v>209.48971609247579</v>
      </c>
      <c r="X315" s="22">
        <f t="shared" si="18"/>
        <v>228.16506173867344</v>
      </c>
      <c r="Y315" s="2">
        <f t="shared" si="19"/>
        <v>348.76853500495372</v>
      </c>
    </row>
    <row r="316" spans="1:25">
      <c r="A316" s="2" t="s">
        <v>8</v>
      </c>
      <c r="B316" s="2" t="s">
        <v>16</v>
      </c>
      <c r="C316" s="2">
        <v>9.666341877138219</v>
      </c>
      <c r="D316" s="2">
        <v>26.83489565423902</v>
      </c>
      <c r="E316" s="2">
        <v>146.56556542504529</v>
      </c>
      <c r="J316" s="4">
        <v>1</v>
      </c>
      <c r="K316" s="4">
        <f t="shared" si="16"/>
        <v>4</v>
      </c>
      <c r="L316" s="4">
        <f t="shared" si="17"/>
        <v>5</v>
      </c>
      <c r="M316" s="4">
        <v>9.666341877138219</v>
      </c>
      <c r="N316" s="4">
        <v>26.83489565423902</v>
      </c>
      <c r="O316" s="4">
        <v>146.56556542504529</v>
      </c>
      <c r="X316" s="22">
        <f t="shared" si="18"/>
        <v>159.91452184883414</v>
      </c>
      <c r="Y316" s="2">
        <f t="shared" si="19"/>
        <v>178.19463760421357</v>
      </c>
    </row>
    <row r="317" spans="1:25">
      <c r="A317" s="2" t="s">
        <v>6</v>
      </c>
      <c r="B317" s="2" t="s">
        <v>16</v>
      </c>
      <c r="C317" s="2">
        <v>5.3519108204793229</v>
      </c>
      <c r="D317" s="2">
        <v>102.6492838367701</v>
      </c>
      <c r="E317" s="2">
        <v>219.27138985060961</v>
      </c>
      <c r="J317" s="4">
        <v>1</v>
      </c>
      <c r="K317" s="4">
        <f t="shared" si="16"/>
        <v>3</v>
      </c>
      <c r="L317" s="4">
        <f t="shared" si="17"/>
        <v>5</v>
      </c>
      <c r="M317" s="4">
        <v>5.3519108204793229</v>
      </c>
      <c r="N317" s="4">
        <v>102.6492838367701</v>
      </c>
      <c r="O317" s="4">
        <v>219.27138985060961</v>
      </c>
      <c r="X317" s="22">
        <f t="shared" si="18"/>
        <v>220.15928509676485</v>
      </c>
      <c r="Y317" s="2">
        <f t="shared" si="19"/>
        <v>0.78835796814507197</v>
      </c>
    </row>
    <row r="318" spans="1:25">
      <c r="A318" s="2" t="s">
        <v>11</v>
      </c>
      <c r="B318" s="2" t="s">
        <v>12</v>
      </c>
      <c r="C318" s="2">
        <v>8.2539329479764234</v>
      </c>
      <c r="D318" s="2">
        <v>24.753373587604958</v>
      </c>
      <c r="E318" s="2">
        <v>83.8480773239786</v>
      </c>
      <c r="J318" s="4">
        <v>1</v>
      </c>
      <c r="K318" s="4">
        <f t="shared" si="16"/>
        <v>7</v>
      </c>
      <c r="L318" s="4">
        <f t="shared" si="17"/>
        <v>1</v>
      </c>
      <c r="M318" s="4">
        <v>8.2539329479764234</v>
      </c>
      <c r="N318" s="4">
        <v>24.753373587604958</v>
      </c>
      <c r="O318" s="4">
        <v>83.8480773239786</v>
      </c>
      <c r="X318" s="22">
        <f t="shared" si="18"/>
        <v>137.86565580870916</v>
      </c>
      <c r="Y318" s="2">
        <f t="shared" si="19"/>
        <v>2917.8987853540261</v>
      </c>
    </row>
    <row r="319" spans="1:25">
      <c r="A319" s="2" t="s">
        <v>11</v>
      </c>
      <c r="B319" s="2" t="s">
        <v>13</v>
      </c>
      <c r="C319" s="2">
        <v>5.9520388794063557</v>
      </c>
      <c r="D319" s="2">
        <v>87.433175896161856</v>
      </c>
      <c r="E319" s="2">
        <v>229.0224590702224</v>
      </c>
      <c r="J319" s="4">
        <v>1</v>
      </c>
      <c r="K319" s="4">
        <f t="shared" si="16"/>
        <v>7</v>
      </c>
      <c r="L319" s="4">
        <f t="shared" si="17"/>
        <v>2</v>
      </c>
      <c r="M319" s="4">
        <v>5.9520388794063557</v>
      </c>
      <c r="N319" s="4">
        <v>87.433175896161856</v>
      </c>
      <c r="O319" s="4">
        <v>229.0224590702224</v>
      </c>
      <c r="X319" s="22">
        <f t="shared" si="18"/>
        <v>202.52836676199939</v>
      </c>
      <c r="Y319" s="2">
        <f t="shared" si="19"/>
        <v>701.93692723664128</v>
      </c>
    </row>
    <row r="320" spans="1:25">
      <c r="A320" s="2" t="s">
        <v>9</v>
      </c>
      <c r="B320" s="2" t="s">
        <v>13</v>
      </c>
      <c r="C320" s="2">
        <v>1.390712795693372</v>
      </c>
      <c r="D320" s="2">
        <v>87.35023293386925</v>
      </c>
      <c r="E320" s="2">
        <v>124.4903771368991</v>
      </c>
      <c r="J320" s="4">
        <v>1</v>
      </c>
      <c r="K320" s="4">
        <f t="shared" si="16"/>
        <v>5</v>
      </c>
      <c r="L320" s="4">
        <f t="shared" si="17"/>
        <v>2</v>
      </c>
      <c r="M320" s="4">
        <v>1.390712795693372</v>
      </c>
      <c r="N320" s="4">
        <v>87.35023293386925</v>
      </c>
      <c r="O320" s="4">
        <v>124.4903771368991</v>
      </c>
      <c r="X320" s="22">
        <f t="shared" si="18"/>
        <v>147.64890226278985</v>
      </c>
      <c r="Y320" s="2">
        <f t="shared" si="19"/>
        <v>536.31728600651309</v>
      </c>
    </row>
    <row r="321" spans="1:25">
      <c r="A321" s="2" t="s">
        <v>5</v>
      </c>
      <c r="B321" s="2" t="s">
        <v>15</v>
      </c>
      <c r="C321" s="2">
        <v>6.6983623803462011</v>
      </c>
      <c r="D321" s="2">
        <v>22.5418703866459</v>
      </c>
      <c r="E321" s="2">
        <v>155.8782393101439</v>
      </c>
      <c r="J321" s="4">
        <v>1</v>
      </c>
      <c r="K321" s="4">
        <f t="shared" si="16"/>
        <v>1</v>
      </c>
      <c r="L321" s="4">
        <f t="shared" si="17"/>
        <v>4</v>
      </c>
      <c r="M321" s="4">
        <v>6.6983623803462011</v>
      </c>
      <c r="N321" s="4">
        <v>22.5418703866459</v>
      </c>
      <c r="O321" s="4">
        <v>155.8782393101439</v>
      </c>
      <c r="X321" s="22">
        <f t="shared" si="18"/>
        <v>119.24502496388619</v>
      </c>
      <c r="Y321" s="2">
        <f t="shared" si="19"/>
        <v>1341.9923933388611</v>
      </c>
    </row>
    <row r="322" spans="1:25">
      <c r="A322" s="2" t="s">
        <v>5</v>
      </c>
      <c r="B322" s="2" t="s">
        <v>16</v>
      </c>
      <c r="C322" s="2">
        <v>9.5626300798599129</v>
      </c>
      <c r="D322" s="2">
        <v>76.275901454201076</v>
      </c>
      <c r="E322" s="2">
        <v>323.91027744159368</v>
      </c>
      <c r="J322" s="4">
        <v>1</v>
      </c>
      <c r="K322" s="4">
        <f t="shared" si="16"/>
        <v>1</v>
      </c>
      <c r="L322" s="4">
        <f t="shared" si="17"/>
        <v>5</v>
      </c>
      <c r="M322" s="4">
        <v>9.5626300798599129</v>
      </c>
      <c r="N322" s="4">
        <v>76.275901454201076</v>
      </c>
      <c r="O322" s="4">
        <v>323.91027744159368</v>
      </c>
      <c r="X322" s="22">
        <f t="shared" si="18"/>
        <v>234.23081314080838</v>
      </c>
      <c r="Y322" s="2">
        <f t="shared" si="19"/>
        <v>8042.4063172758251</v>
      </c>
    </row>
    <row r="323" spans="1:25">
      <c r="A323" s="2" t="s">
        <v>10</v>
      </c>
      <c r="B323" s="2" t="s">
        <v>13</v>
      </c>
      <c r="C323" s="2">
        <v>6.4145063813169809</v>
      </c>
      <c r="D323" s="2">
        <v>31.089638770349818</v>
      </c>
      <c r="E323" s="2">
        <v>89.449820186649731</v>
      </c>
      <c r="J323" s="4">
        <v>1</v>
      </c>
      <c r="K323" s="4">
        <f t="shared" si="16"/>
        <v>6</v>
      </c>
      <c r="L323" s="4">
        <f t="shared" si="17"/>
        <v>2</v>
      </c>
      <c r="M323" s="4">
        <v>6.4145063813169809</v>
      </c>
      <c r="N323" s="4">
        <v>31.089638770349818</v>
      </c>
      <c r="O323" s="4">
        <v>89.449820186649731</v>
      </c>
      <c r="X323" s="22">
        <f t="shared" si="18"/>
        <v>125.19813119898757</v>
      </c>
      <c r="Y323" s="2">
        <f t="shared" si="19"/>
        <v>1277.9417402348347</v>
      </c>
    </row>
    <row r="324" spans="1:25">
      <c r="A324" s="2" t="s">
        <v>9</v>
      </c>
      <c r="B324" s="2" t="s">
        <v>17</v>
      </c>
      <c r="C324" s="2">
        <v>8.3726997348411114</v>
      </c>
      <c r="D324" s="2">
        <v>163.56468990175219</v>
      </c>
      <c r="E324" s="2">
        <v>319.64781508557212</v>
      </c>
      <c r="J324" s="4">
        <v>1</v>
      </c>
      <c r="K324" s="4">
        <f t="shared" ref="K324:K387" si="20">VLOOKUP(A324, $F$3:$G$9, 2, FALSE)</f>
        <v>5</v>
      </c>
      <c r="L324" s="4">
        <f t="shared" ref="L324:L387" si="21">VLOOKUP(B324, $H$3:$I$8, 2, FALSE)</f>
        <v>6</v>
      </c>
      <c r="M324" s="4">
        <v>8.3726997348411114</v>
      </c>
      <c r="N324" s="4">
        <v>163.56468990175219</v>
      </c>
      <c r="O324" s="4">
        <v>319.64781508557212</v>
      </c>
      <c r="X324" s="22">
        <f t="shared" ref="X324:X387" si="22">$U$16+$U$17*K324+$U$18*L324+$U$19*M324+$U$20*N324</f>
        <v>346.33167027349572</v>
      </c>
      <c r="Y324" s="2">
        <f t="shared" ref="Y324:Y387" si="23">POWER(O324-X324,2)</f>
        <v>712.0281276900771</v>
      </c>
    </row>
    <row r="325" spans="1:25">
      <c r="A325" s="2" t="s">
        <v>8</v>
      </c>
      <c r="B325" s="2" t="s">
        <v>12</v>
      </c>
      <c r="C325" s="2">
        <v>8.957858170135669</v>
      </c>
      <c r="D325" s="2">
        <v>190.06072493324939</v>
      </c>
      <c r="E325" s="2">
        <v>439.00755056800978</v>
      </c>
      <c r="J325" s="4">
        <v>1</v>
      </c>
      <c r="K325" s="4">
        <f t="shared" si="20"/>
        <v>4</v>
      </c>
      <c r="L325" s="4">
        <f t="shared" si="21"/>
        <v>1</v>
      </c>
      <c r="M325" s="4">
        <v>8.957858170135669</v>
      </c>
      <c r="N325" s="4">
        <v>190.06072493324939</v>
      </c>
      <c r="O325" s="4">
        <v>439.00755056800978</v>
      </c>
      <c r="X325" s="22">
        <f t="shared" si="22"/>
        <v>394.31542805116294</v>
      </c>
      <c r="Y325" s="2">
        <f t="shared" si="23"/>
        <v>1997.385815060848</v>
      </c>
    </row>
    <row r="326" spans="1:25">
      <c r="A326" s="2" t="s">
        <v>5</v>
      </c>
      <c r="B326" s="2" t="s">
        <v>17</v>
      </c>
      <c r="C326" s="2">
        <v>3.0527179475403918</v>
      </c>
      <c r="D326" s="2">
        <v>23.740130299008339</v>
      </c>
      <c r="E326" s="2">
        <v>73.099741652983838</v>
      </c>
      <c r="J326" s="4">
        <v>1</v>
      </c>
      <c r="K326" s="4">
        <f t="shared" si="20"/>
        <v>1</v>
      </c>
      <c r="L326" s="4">
        <f t="shared" si="21"/>
        <v>6</v>
      </c>
      <c r="M326" s="4">
        <v>3.0527179475403918</v>
      </c>
      <c r="N326" s="4">
        <v>23.740130299008339</v>
      </c>
      <c r="O326" s="4">
        <v>73.099741652983838</v>
      </c>
      <c r="X326" s="22">
        <f t="shared" si="22"/>
        <v>75.854068033744397</v>
      </c>
      <c r="Y326" s="2">
        <f t="shared" si="23"/>
        <v>7.5863138117535645</v>
      </c>
    </row>
    <row r="327" spans="1:25">
      <c r="A327" s="2" t="s">
        <v>6</v>
      </c>
      <c r="B327" s="2" t="s">
        <v>17</v>
      </c>
      <c r="C327" s="2">
        <v>2.9084035591740398</v>
      </c>
      <c r="D327" s="2">
        <v>191.47188938542331</v>
      </c>
      <c r="E327" s="2">
        <v>331.93352426120163</v>
      </c>
      <c r="J327" s="4">
        <v>1</v>
      </c>
      <c r="K327" s="4">
        <f t="shared" si="20"/>
        <v>3</v>
      </c>
      <c r="L327" s="4">
        <f t="shared" si="21"/>
        <v>6</v>
      </c>
      <c r="M327" s="4">
        <v>2.9084035591740398</v>
      </c>
      <c r="N327" s="4">
        <v>191.47188938542331</v>
      </c>
      <c r="O327" s="4">
        <v>331.93352426120163</v>
      </c>
      <c r="X327" s="22">
        <f t="shared" si="22"/>
        <v>321.92874945742471</v>
      </c>
      <c r="Y327" s="2">
        <f t="shared" si="23"/>
        <v>100.09551887428933</v>
      </c>
    </row>
    <row r="328" spans="1:25">
      <c r="A328" s="2" t="s">
        <v>9</v>
      </c>
      <c r="B328" s="2" t="s">
        <v>12</v>
      </c>
      <c r="C328" s="2">
        <v>6.4988288996589256</v>
      </c>
      <c r="D328" s="2">
        <v>109.2895538739816</v>
      </c>
      <c r="E328" s="2">
        <v>242.78908629168271</v>
      </c>
      <c r="J328" s="4">
        <v>1</v>
      </c>
      <c r="K328" s="4">
        <f t="shared" si="20"/>
        <v>5</v>
      </c>
      <c r="L328" s="4">
        <f t="shared" si="21"/>
        <v>1</v>
      </c>
      <c r="M328" s="4">
        <v>6.4988288996589256</v>
      </c>
      <c r="N328" s="4">
        <v>109.2895538739816</v>
      </c>
      <c r="O328" s="4">
        <v>242.78908629168271</v>
      </c>
      <c r="X328" s="22">
        <f t="shared" si="22"/>
        <v>243.29446497042591</v>
      </c>
      <c r="Y328" s="2">
        <f t="shared" si="23"/>
        <v>0.2554076089282214</v>
      </c>
    </row>
    <row r="329" spans="1:25">
      <c r="A329" s="2" t="s">
        <v>11</v>
      </c>
      <c r="B329" s="2" t="s">
        <v>17</v>
      </c>
      <c r="C329" s="2">
        <v>4.6992562282603423</v>
      </c>
      <c r="D329" s="2">
        <v>66.917478811236037</v>
      </c>
      <c r="E329" s="2">
        <v>175.08148244866669</v>
      </c>
      <c r="J329" s="4">
        <v>1</v>
      </c>
      <c r="K329" s="4">
        <f t="shared" si="20"/>
        <v>7</v>
      </c>
      <c r="L329" s="4">
        <f t="shared" si="21"/>
        <v>6</v>
      </c>
      <c r="M329" s="4">
        <v>4.6992562282603423</v>
      </c>
      <c r="N329" s="4">
        <v>66.917478811236037</v>
      </c>
      <c r="O329" s="4">
        <v>175.08148244866669</v>
      </c>
      <c r="X329" s="22">
        <f t="shared" si="22"/>
        <v>156.056358940584</v>
      </c>
      <c r="Y329" s="2">
        <f t="shared" si="23"/>
        <v>361.95532449780046</v>
      </c>
    </row>
    <row r="330" spans="1:25">
      <c r="A330" s="2" t="s">
        <v>6</v>
      </c>
      <c r="B330" s="2" t="s">
        <v>13</v>
      </c>
      <c r="C330" s="2">
        <v>8.5587517258004837</v>
      </c>
      <c r="D330" s="2">
        <v>24.603794302471069</v>
      </c>
      <c r="E330" s="2">
        <v>185.10326690500781</v>
      </c>
      <c r="J330" s="4">
        <v>1</v>
      </c>
      <c r="K330" s="4">
        <f t="shared" si="20"/>
        <v>3</v>
      </c>
      <c r="L330" s="4">
        <f t="shared" si="21"/>
        <v>2</v>
      </c>
      <c r="M330" s="4">
        <v>8.5587517258004837</v>
      </c>
      <c r="N330" s="4">
        <v>24.603794302471069</v>
      </c>
      <c r="O330" s="4">
        <v>185.10326690500781</v>
      </c>
      <c r="X330" s="22">
        <f t="shared" si="22"/>
        <v>144.08384342064824</v>
      </c>
      <c r="Y330" s="2">
        <f t="shared" si="23"/>
        <v>1682.5931029892301</v>
      </c>
    </row>
    <row r="331" spans="1:25">
      <c r="A331" s="2" t="s">
        <v>6</v>
      </c>
      <c r="B331" s="2" t="s">
        <v>16</v>
      </c>
      <c r="C331" s="2">
        <v>9.1002081105821002</v>
      </c>
      <c r="D331" s="2">
        <v>105.1186109333794</v>
      </c>
      <c r="E331" s="2">
        <v>325.25258083918823</v>
      </c>
      <c r="J331" s="4">
        <v>1</v>
      </c>
      <c r="K331" s="4">
        <f t="shared" si="20"/>
        <v>3</v>
      </c>
      <c r="L331" s="4">
        <f t="shared" si="21"/>
        <v>5</v>
      </c>
      <c r="M331" s="4">
        <v>9.1002081105821002</v>
      </c>
      <c r="N331" s="4">
        <v>105.1186109333794</v>
      </c>
      <c r="O331" s="4">
        <v>325.25258083918823</v>
      </c>
      <c r="X331" s="22">
        <f t="shared" si="22"/>
        <v>269.9863361785018</v>
      </c>
      <c r="Y331" s="2">
        <f t="shared" si="23"/>
        <v>3054.3577988948509</v>
      </c>
    </row>
    <row r="332" spans="1:25">
      <c r="A332" s="2" t="s">
        <v>11</v>
      </c>
      <c r="B332" s="2" t="s">
        <v>12</v>
      </c>
      <c r="C332" s="2">
        <v>4.180792413724463</v>
      </c>
      <c r="D332" s="2">
        <v>160.95795345324231</v>
      </c>
      <c r="E332" s="2">
        <v>293.47031171224171</v>
      </c>
      <c r="J332" s="4">
        <v>1</v>
      </c>
      <c r="K332" s="4">
        <f t="shared" si="20"/>
        <v>7</v>
      </c>
      <c r="L332" s="4">
        <f t="shared" si="21"/>
        <v>1</v>
      </c>
      <c r="M332" s="4">
        <v>4.180792413724463</v>
      </c>
      <c r="N332" s="4">
        <v>160.95795345324231</v>
      </c>
      <c r="O332" s="4">
        <v>293.47031171224171</v>
      </c>
      <c r="X332" s="22">
        <f t="shared" si="22"/>
        <v>290.12059548768559</v>
      </c>
      <c r="Y332" s="2">
        <f t="shared" si="23"/>
        <v>11.220598785054497</v>
      </c>
    </row>
    <row r="333" spans="1:25">
      <c r="A333" s="2" t="s">
        <v>9</v>
      </c>
      <c r="B333" s="2" t="s">
        <v>15</v>
      </c>
      <c r="C333" s="2">
        <v>3.131835030770338</v>
      </c>
      <c r="D333" s="2">
        <v>144.34643068067271</v>
      </c>
      <c r="E333" s="2">
        <v>292.26475117838828</v>
      </c>
      <c r="J333" s="4">
        <v>1</v>
      </c>
      <c r="K333" s="4">
        <f t="shared" si="20"/>
        <v>5</v>
      </c>
      <c r="L333" s="4">
        <f t="shared" si="21"/>
        <v>4</v>
      </c>
      <c r="M333" s="4">
        <v>3.131835030770338</v>
      </c>
      <c r="N333" s="4">
        <v>144.34643068067271</v>
      </c>
      <c r="O333" s="4">
        <v>292.26475117838828</v>
      </c>
      <c r="X333" s="22">
        <f t="shared" si="22"/>
        <v>253.51271169009101</v>
      </c>
      <c r="Y333" s="2">
        <f t="shared" si="23"/>
        <v>1501.720564502551</v>
      </c>
    </row>
    <row r="334" spans="1:25">
      <c r="A334" s="2" t="s">
        <v>11</v>
      </c>
      <c r="B334" s="2" t="s">
        <v>17</v>
      </c>
      <c r="C334" s="2">
        <v>8.0247296371947563</v>
      </c>
      <c r="D334" s="2">
        <v>19.54294217815502</v>
      </c>
      <c r="E334" s="2">
        <v>182.57226892608159</v>
      </c>
      <c r="J334" s="4">
        <v>1</v>
      </c>
      <c r="K334" s="4">
        <f t="shared" si="20"/>
        <v>7</v>
      </c>
      <c r="L334" s="4">
        <f t="shared" si="21"/>
        <v>6</v>
      </c>
      <c r="M334" s="4">
        <v>8.0247296371947563</v>
      </c>
      <c r="N334" s="4">
        <v>19.54294217815502</v>
      </c>
      <c r="O334" s="4">
        <v>182.57226892608159</v>
      </c>
      <c r="X334" s="22">
        <f t="shared" si="22"/>
        <v>126.60409057010702</v>
      </c>
      <c r="Y334" s="2">
        <f t="shared" si="23"/>
        <v>3132.4369884861808</v>
      </c>
    </row>
    <row r="335" spans="1:25">
      <c r="A335" s="2" t="s">
        <v>10</v>
      </c>
      <c r="B335" s="2" t="s">
        <v>12</v>
      </c>
      <c r="C335" s="2">
        <v>3.4732543199332251</v>
      </c>
      <c r="D335" s="2">
        <v>23.851348719901669</v>
      </c>
      <c r="E335" s="2">
        <v>61.614712079404441</v>
      </c>
      <c r="J335" s="4">
        <v>1</v>
      </c>
      <c r="K335" s="4">
        <f t="shared" si="20"/>
        <v>6</v>
      </c>
      <c r="L335" s="4">
        <f t="shared" si="21"/>
        <v>1</v>
      </c>
      <c r="M335" s="4">
        <v>3.4732543199332251</v>
      </c>
      <c r="N335" s="4">
        <v>23.851348719901669</v>
      </c>
      <c r="O335" s="4">
        <v>61.614712079404441</v>
      </c>
      <c r="X335" s="22">
        <f t="shared" si="22"/>
        <v>78.361289200737048</v>
      </c>
      <c r="Y335" s="2">
        <f t="shared" si="23"/>
        <v>280.44784528074069</v>
      </c>
    </row>
    <row r="336" spans="1:25">
      <c r="A336" s="2" t="s">
        <v>6</v>
      </c>
      <c r="B336" s="2" t="s">
        <v>14</v>
      </c>
      <c r="C336" s="2">
        <v>8.4035288666231054</v>
      </c>
      <c r="D336" s="2">
        <v>86.545923700201044</v>
      </c>
      <c r="E336" s="2">
        <v>208.59824902686719</v>
      </c>
      <c r="J336" s="4">
        <v>1</v>
      </c>
      <c r="K336" s="4">
        <f t="shared" si="20"/>
        <v>3</v>
      </c>
      <c r="L336" s="4">
        <f t="shared" si="21"/>
        <v>3</v>
      </c>
      <c r="M336" s="4">
        <v>8.4035288666231054</v>
      </c>
      <c r="N336" s="4">
        <v>86.545923700201044</v>
      </c>
      <c r="O336" s="4">
        <v>208.59824902686719</v>
      </c>
      <c r="X336" s="22">
        <f t="shared" si="22"/>
        <v>234.08491263188159</v>
      </c>
      <c r="Y336" s="2">
        <f t="shared" si="23"/>
        <v>649.57002171516558</v>
      </c>
    </row>
    <row r="337" spans="1:25">
      <c r="A337" s="2" t="s">
        <v>7</v>
      </c>
      <c r="B337" s="2" t="s">
        <v>14</v>
      </c>
      <c r="C337" s="2">
        <v>4.8136442828388653</v>
      </c>
      <c r="D337" s="2">
        <v>66.105193869109229</v>
      </c>
      <c r="E337" s="2">
        <v>203.32308379252279</v>
      </c>
      <c r="J337" s="4">
        <v>1</v>
      </c>
      <c r="K337" s="4">
        <f t="shared" si="20"/>
        <v>2</v>
      </c>
      <c r="L337" s="4">
        <f t="shared" si="21"/>
        <v>3</v>
      </c>
      <c r="M337" s="4">
        <v>4.8136442828388653</v>
      </c>
      <c r="N337" s="4">
        <v>66.105193869109229</v>
      </c>
      <c r="O337" s="4">
        <v>203.32308379252279</v>
      </c>
      <c r="X337" s="22">
        <f t="shared" si="22"/>
        <v>160.20794713508761</v>
      </c>
      <c r="Y337" s="2">
        <f t="shared" si="23"/>
        <v>1858.9150089893114</v>
      </c>
    </row>
    <row r="338" spans="1:25">
      <c r="A338" s="2" t="s">
        <v>7</v>
      </c>
      <c r="B338" s="2" t="s">
        <v>16</v>
      </c>
      <c r="C338" s="2">
        <v>7.0079490936232336</v>
      </c>
      <c r="D338" s="2">
        <v>54.153021380649093</v>
      </c>
      <c r="E338" s="2">
        <v>150.11267418962839</v>
      </c>
      <c r="J338" s="4">
        <v>1</v>
      </c>
      <c r="K338" s="4">
        <f t="shared" si="20"/>
        <v>2</v>
      </c>
      <c r="L338" s="4">
        <f t="shared" si="21"/>
        <v>5</v>
      </c>
      <c r="M338" s="4">
        <v>7.0079490936232336</v>
      </c>
      <c r="N338" s="4">
        <v>54.153021380649093</v>
      </c>
      <c r="O338" s="4">
        <v>150.11267418962839</v>
      </c>
      <c r="X338" s="22">
        <f t="shared" si="22"/>
        <v>169.18872958656397</v>
      </c>
      <c r="Y338" s="2">
        <f t="shared" si="23"/>
        <v>363.8958895069548</v>
      </c>
    </row>
    <row r="339" spans="1:25">
      <c r="A339" s="2" t="s">
        <v>8</v>
      </c>
      <c r="B339" s="2" t="s">
        <v>13</v>
      </c>
      <c r="C339" s="2">
        <v>1.8598178245120141</v>
      </c>
      <c r="D339" s="2">
        <v>63.390854792655581</v>
      </c>
      <c r="E339" s="2">
        <v>125.8869511047299</v>
      </c>
      <c r="J339" s="4">
        <v>1</v>
      </c>
      <c r="K339" s="4">
        <f t="shared" si="20"/>
        <v>4</v>
      </c>
      <c r="L339" s="4">
        <f t="shared" si="21"/>
        <v>2</v>
      </c>
      <c r="M339" s="4">
        <v>1.8598178245120141</v>
      </c>
      <c r="N339" s="4">
        <v>63.390854792655581</v>
      </c>
      <c r="O339" s="4">
        <v>125.8869511047299</v>
      </c>
      <c r="X339" s="22">
        <f t="shared" si="22"/>
        <v>118.52624285725835</v>
      </c>
      <c r="Y339" s="2">
        <f t="shared" si="23"/>
        <v>54.180025904395691</v>
      </c>
    </row>
    <row r="340" spans="1:25">
      <c r="A340" s="2" t="s">
        <v>5</v>
      </c>
      <c r="B340" s="2" t="s">
        <v>16</v>
      </c>
      <c r="C340" s="2">
        <v>6.6147339220891572</v>
      </c>
      <c r="D340" s="2">
        <v>162.6617212264081</v>
      </c>
      <c r="E340" s="2">
        <v>304.12673966121412</v>
      </c>
      <c r="J340" s="4">
        <v>1</v>
      </c>
      <c r="K340" s="4">
        <f t="shared" si="20"/>
        <v>1</v>
      </c>
      <c r="L340" s="4">
        <f t="shared" si="21"/>
        <v>5</v>
      </c>
      <c r="M340" s="4">
        <v>6.6147339220891572</v>
      </c>
      <c r="N340" s="4">
        <v>162.6617212264081</v>
      </c>
      <c r="O340" s="4">
        <v>304.12673966121412</v>
      </c>
      <c r="X340" s="22">
        <f t="shared" si="22"/>
        <v>326.30701192065732</v>
      </c>
      <c r="Y340" s="2">
        <f t="shared" si="23"/>
        <v>491.96447750302553</v>
      </c>
    </row>
    <row r="341" spans="1:25">
      <c r="A341" s="2" t="s">
        <v>11</v>
      </c>
      <c r="B341" s="2" t="s">
        <v>16</v>
      </c>
      <c r="C341" s="2">
        <v>5.0659091086350623</v>
      </c>
      <c r="D341" s="2">
        <v>186.55333019005221</v>
      </c>
      <c r="E341" s="2">
        <v>412.97922756307258</v>
      </c>
      <c r="J341" s="4">
        <v>1</v>
      </c>
      <c r="K341" s="4">
        <f t="shared" si="20"/>
        <v>7</v>
      </c>
      <c r="L341" s="4">
        <f t="shared" si="21"/>
        <v>5</v>
      </c>
      <c r="M341" s="4">
        <v>5.0659091086350623</v>
      </c>
      <c r="N341" s="4">
        <v>186.55333019005221</v>
      </c>
      <c r="O341" s="4">
        <v>412.97922756307258</v>
      </c>
      <c r="X341" s="22">
        <f t="shared" si="22"/>
        <v>338.50047563525294</v>
      </c>
      <c r="Y341" s="2">
        <f t="shared" si="23"/>
        <v>5547.0844887256981</v>
      </c>
    </row>
    <row r="342" spans="1:25">
      <c r="A342" s="2" t="s">
        <v>11</v>
      </c>
      <c r="B342" s="2" t="s">
        <v>16</v>
      </c>
      <c r="C342" s="2">
        <v>6.2794761685792668</v>
      </c>
      <c r="D342" s="2">
        <v>86.969511960237625</v>
      </c>
      <c r="E342" s="2">
        <v>198.4314312148563</v>
      </c>
      <c r="J342" s="4">
        <v>1</v>
      </c>
      <c r="K342" s="4">
        <f t="shared" si="20"/>
        <v>7</v>
      </c>
      <c r="L342" s="4">
        <f t="shared" si="21"/>
        <v>5</v>
      </c>
      <c r="M342" s="4">
        <v>6.2794761685792668</v>
      </c>
      <c r="N342" s="4">
        <v>86.969511960237625</v>
      </c>
      <c r="O342" s="4">
        <v>198.4314312148563</v>
      </c>
      <c r="X342" s="22">
        <f t="shared" si="22"/>
        <v>205.45390521574467</v>
      </c>
      <c r="Y342" s="2">
        <f t="shared" si="23"/>
        <v>49.315141093153052</v>
      </c>
    </row>
    <row r="343" spans="1:25">
      <c r="A343" s="2" t="s">
        <v>8</v>
      </c>
      <c r="B343" s="2" t="s">
        <v>16</v>
      </c>
      <c r="C343" s="2">
        <v>2.5121278697037712</v>
      </c>
      <c r="D343" s="2">
        <v>182.16109040517441</v>
      </c>
      <c r="E343" s="2">
        <v>316.17832811626192</v>
      </c>
      <c r="J343" s="4">
        <v>1</v>
      </c>
      <c r="K343" s="4">
        <f t="shared" si="20"/>
        <v>4</v>
      </c>
      <c r="L343" s="4">
        <f t="shared" si="21"/>
        <v>5</v>
      </c>
      <c r="M343" s="4">
        <v>2.5121278697037712</v>
      </c>
      <c r="N343" s="4">
        <v>182.16109040517441</v>
      </c>
      <c r="O343" s="4">
        <v>316.17832811626192</v>
      </c>
      <c r="X343" s="22">
        <f t="shared" si="22"/>
        <v>302.6448860614538</v>
      </c>
      <c r="Y343" s="2">
        <f t="shared" si="23"/>
        <v>183.15405385084901</v>
      </c>
    </row>
    <row r="344" spans="1:25">
      <c r="A344" s="2" t="s">
        <v>8</v>
      </c>
      <c r="B344" s="2" t="s">
        <v>15</v>
      </c>
      <c r="C344" s="2">
        <v>7.631863704497639</v>
      </c>
      <c r="D344" s="2">
        <v>71.084183237097562</v>
      </c>
      <c r="E344" s="2">
        <v>182.0454851053959</v>
      </c>
      <c r="J344" s="4">
        <v>1</v>
      </c>
      <c r="K344" s="4">
        <f t="shared" si="20"/>
        <v>4</v>
      </c>
      <c r="L344" s="4">
        <f t="shared" si="21"/>
        <v>4</v>
      </c>
      <c r="M344" s="4">
        <v>7.631863704497639</v>
      </c>
      <c r="N344" s="4">
        <v>71.084183237097562</v>
      </c>
      <c r="O344" s="4">
        <v>182.0454851053959</v>
      </c>
      <c r="X344" s="22">
        <f t="shared" si="22"/>
        <v>200.75918225711766</v>
      </c>
      <c r="Y344" s="2">
        <f t="shared" si="23"/>
        <v>350.20246108635911</v>
      </c>
    </row>
    <row r="345" spans="1:25">
      <c r="A345" s="2" t="s">
        <v>8</v>
      </c>
      <c r="B345" s="2" t="s">
        <v>15</v>
      </c>
      <c r="C345" s="2">
        <v>8.7651736978890575</v>
      </c>
      <c r="D345" s="2">
        <v>100.52302740532041</v>
      </c>
      <c r="E345" s="2">
        <v>329.00129311887139</v>
      </c>
      <c r="J345" s="4">
        <v>1</v>
      </c>
      <c r="K345" s="4">
        <f t="shared" si="20"/>
        <v>4</v>
      </c>
      <c r="L345" s="4">
        <f t="shared" si="21"/>
        <v>4</v>
      </c>
      <c r="M345" s="4">
        <v>8.7651736978890575</v>
      </c>
      <c r="N345" s="4">
        <v>100.52302740532041</v>
      </c>
      <c r="O345" s="4">
        <v>329.00129311887139</v>
      </c>
      <c r="X345" s="22">
        <f t="shared" si="22"/>
        <v>258.46385613179149</v>
      </c>
      <c r="Y345" s="2">
        <f t="shared" si="23"/>
        <v>4975.5300167062678</v>
      </c>
    </row>
    <row r="346" spans="1:25">
      <c r="A346" s="2" t="s">
        <v>6</v>
      </c>
      <c r="B346" s="2" t="s">
        <v>12</v>
      </c>
      <c r="C346" s="2">
        <v>2.950658200816981</v>
      </c>
      <c r="D346" s="2">
        <v>52.94550958503995</v>
      </c>
      <c r="E346" s="2">
        <v>132.00400324325611</v>
      </c>
      <c r="J346" s="4">
        <v>1</v>
      </c>
      <c r="K346" s="4">
        <f t="shared" si="20"/>
        <v>3</v>
      </c>
      <c r="L346" s="4">
        <f t="shared" si="21"/>
        <v>1</v>
      </c>
      <c r="M346" s="4">
        <v>2.950658200816981</v>
      </c>
      <c r="N346" s="4">
        <v>52.94550958503995</v>
      </c>
      <c r="O346" s="4">
        <v>132.00400324325611</v>
      </c>
      <c r="X346" s="22">
        <f t="shared" si="22"/>
        <v>117.28205781355801</v>
      </c>
      <c r="Y346" s="2">
        <f t="shared" si="23"/>
        <v>216.73567723500864</v>
      </c>
    </row>
    <row r="347" spans="1:25">
      <c r="A347" s="2" t="s">
        <v>10</v>
      </c>
      <c r="B347" s="2" t="s">
        <v>14</v>
      </c>
      <c r="C347" s="2">
        <v>1.861430999681456</v>
      </c>
      <c r="D347" s="2">
        <v>131.69044801341039</v>
      </c>
      <c r="E347" s="2">
        <v>200.07655227302359</v>
      </c>
      <c r="J347" s="4">
        <v>1</v>
      </c>
      <c r="K347" s="4">
        <f t="shared" si="20"/>
        <v>6</v>
      </c>
      <c r="L347" s="4">
        <f t="shared" si="21"/>
        <v>3</v>
      </c>
      <c r="M347" s="4">
        <v>1.861430999681456</v>
      </c>
      <c r="N347" s="4">
        <v>131.69044801341039</v>
      </c>
      <c r="O347" s="4">
        <v>200.07655227302359</v>
      </c>
      <c r="X347" s="22">
        <f t="shared" si="22"/>
        <v>218.49337801066662</v>
      </c>
      <c r="Y347" s="2">
        <f t="shared" si="23"/>
        <v>339.17947025071049</v>
      </c>
    </row>
    <row r="348" spans="1:25">
      <c r="A348" s="2" t="s">
        <v>11</v>
      </c>
      <c r="B348" s="2" t="s">
        <v>16</v>
      </c>
      <c r="C348" s="2">
        <v>1.212747274417028</v>
      </c>
      <c r="D348" s="2">
        <v>196.0064118832137</v>
      </c>
      <c r="E348" s="2">
        <v>265.15577840878768</v>
      </c>
      <c r="J348" s="4">
        <v>1</v>
      </c>
      <c r="K348" s="4">
        <f t="shared" si="20"/>
        <v>7</v>
      </c>
      <c r="L348" s="4">
        <f t="shared" si="21"/>
        <v>5</v>
      </c>
      <c r="M348" s="4">
        <v>1.212747274417028</v>
      </c>
      <c r="N348" s="4">
        <v>196.0064118832137</v>
      </c>
      <c r="O348" s="4">
        <v>265.15577840878768</v>
      </c>
      <c r="X348" s="22">
        <f t="shared" si="22"/>
        <v>305.09989470339571</v>
      </c>
      <c r="Y348" s="2">
        <f t="shared" si="23"/>
        <v>1595.5324265571701</v>
      </c>
    </row>
    <row r="349" spans="1:25">
      <c r="A349" s="2" t="s">
        <v>6</v>
      </c>
      <c r="B349" s="2" t="s">
        <v>12</v>
      </c>
      <c r="C349" s="2">
        <v>6.7777435039893943</v>
      </c>
      <c r="D349" s="2">
        <v>124.6636882482419</v>
      </c>
      <c r="E349" s="2">
        <v>250.04870075463279</v>
      </c>
      <c r="J349" s="4">
        <v>1</v>
      </c>
      <c r="K349" s="4">
        <f t="shared" si="20"/>
        <v>3</v>
      </c>
      <c r="L349" s="4">
        <f t="shared" si="21"/>
        <v>1</v>
      </c>
      <c r="M349" s="4">
        <v>6.7777435039893943</v>
      </c>
      <c r="N349" s="4">
        <v>124.6636882482419</v>
      </c>
      <c r="O349" s="4">
        <v>250.04870075463279</v>
      </c>
      <c r="X349" s="22">
        <f t="shared" si="22"/>
        <v>270.98948821942741</v>
      </c>
      <c r="Y349" s="2">
        <f t="shared" si="23"/>
        <v>438.51657964569966</v>
      </c>
    </row>
    <row r="350" spans="1:25">
      <c r="A350" s="2" t="s">
        <v>8</v>
      </c>
      <c r="B350" s="2" t="s">
        <v>14</v>
      </c>
      <c r="C350" s="2">
        <v>6.463846324799027</v>
      </c>
      <c r="D350" s="2">
        <v>77.984675981574284</v>
      </c>
      <c r="E350" s="2">
        <v>255.17071448257121</v>
      </c>
      <c r="J350" s="4">
        <v>1</v>
      </c>
      <c r="K350" s="4">
        <f t="shared" si="20"/>
        <v>4</v>
      </c>
      <c r="L350" s="4">
        <f t="shared" si="21"/>
        <v>3</v>
      </c>
      <c r="M350" s="4">
        <v>6.463846324799027</v>
      </c>
      <c r="N350" s="4">
        <v>77.984675981574284</v>
      </c>
      <c r="O350" s="4">
        <v>255.17071448257121</v>
      </c>
      <c r="X350" s="22">
        <f t="shared" si="22"/>
        <v>196.76989639078505</v>
      </c>
      <c r="Y350" s="2">
        <f t="shared" si="23"/>
        <v>3410.655553789898</v>
      </c>
    </row>
    <row r="351" spans="1:25">
      <c r="A351" s="2" t="s">
        <v>11</v>
      </c>
      <c r="B351" s="2" t="s">
        <v>17</v>
      </c>
      <c r="C351" s="2">
        <v>5.9202767144266302</v>
      </c>
      <c r="D351" s="2">
        <v>133.0853147382004</v>
      </c>
      <c r="E351" s="2">
        <v>281.35985230290038</v>
      </c>
      <c r="J351" s="4">
        <v>1</v>
      </c>
      <c r="K351" s="4">
        <f t="shared" si="20"/>
        <v>7</v>
      </c>
      <c r="L351" s="4">
        <f t="shared" si="21"/>
        <v>6</v>
      </c>
      <c r="M351" s="4">
        <v>5.9202767144266302</v>
      </c>
      <c r="N351" s="4">
        <v>133.0853147382004</v>
      </c>
      <c r="O351" s="4">
        <v>281.35985230290038</v>
      </c>
      <c r="X351" s="22">
        <f t="shared" si="22"/>
        <v>269.42378160893958</v>
      </c>
      <c r="Y351" s="2">
        <f t="shared" si="23"/>
        <v>142.46978361122987</v>
      </c>
    </row>
    <row r="352" spans="1:25">
      <c r="A352" s="2" t="s">
        <v>6</v>
      </c>
      <c r="B352" s="2" t="s">
        <v>13</v>
      </c>
      <c r="C352" s="2">
        <v>3.0875238650437788</v>
      </c>
      <c r="D352" s="2">
        <v>33.354928908423638</v>
      </c>
      <c r="E352" s="2">
        <v>104.6805130922051</v>
      </c>
      <c r="J352" s="4">
        <v>1</v>
      </c>
      <c r="K352" s="4">
        <f t="shared" si="20"/>
        <v>3</v>
      </c>
      <c r="L352" s="4">
        <f t="shared" si="21"/>
        <v>2</v>
      </c>
      <c r="M352" s="4">
        <v>3.0875238650437788</v>
      </c>
      <c r="N352" s="4">
        <v>33.354928908423638</v>
      </c>
      <c r="O352" s="4">
        <v>104.6805130922051</v>
      </c>
      <c r="X352" s="22">
        <f t="shared" si="22"/>
        <v>89.714863496185913</v>
      </c>
      <c r="Y352" s="2">
        <f t="shared" si="23"/>
        <v>223.97066783082937</v>
      </c>
    </row>
    <row r="353" spans="1:25">
      <c r="A353" s="2" t="s">
        <v>10</v>
      </c>
      <c r="B353" s="2" t="s">
        <v>15</v>
      </c>
      <c r="C353" s="2">
        <v>4.5181539631496319</v>
      </c>
      <c r="D353" s="2">
        <v>178.8452252504257</v>
      </c>
      <c r="E353" s="2">
        <v>347.75309030979753</v>
      </c>
      <c r="J353" s="4">
        <v>1</v>
      </c>
      <c r="K353" s="4">
        <f t="shared" si="20"/>
        <v>6</v>
      </c>
      <c r="L353" s="4">
        <f t="shared" si="21"/>
        <v>4</v>
      </c>
      <c r="M353" s="4">
        <v>4.5181539631496319</v>
      </c>
      <c r="N353" s="4">
        <v>178.8452252504257</v>
      </c>
      <c r="O353" s="4">
        <v>347.75309030979753</v>
      </c>
      <c r="X353" s="22">
        <f t="shared" si="22"/>
        <v>321.14603549386857</v>
      </c>
      <c r="Y353" s="2">
        <f t="shared" si="23"/>
        <v>707.93536597784851</v>
      </c>
    </row>
    <row r="354" spans="1:25">
      <c r="A354" s="2" t="s">
        <v>6</v>
      </c>
      <c r="B354" s="2" t="s">
        <v>17</v>
      </c>
      <c r="C354" s="2">
        <v>6.3502870166755576</v>
      </c>
      <c r="D354" s="2">
        <v>105.5859506481689</v>
      </c>
      <c r="E354" s="2">
        <v>272.05029769717999</v>
      </c>
      <c r="J354" s="4">
        <v>1</v>
      </c>
      <c r="K354" s="4">
        <f t="shared" si="20"/>
        <v>3</v>
      </c>
      <c r="L354" s="4">
        <f t="shared" si="21"/>
        <v>6</v>
      </c>
      <c r="M354" s="4">
        <v>6.3502870166755576</v>
      </c>
      <c r="N354" s="4">
        <v>105.5859506481689</v>
      </c>
      <c r="O354" s="4">
        <v>272.05029769717999</v>
      </c>
      <c r="X354" s="22">
        <f t="shared" si="22"/>
        <v>236.67849428615614</v>
      </c>
      <c r="Y354" s="2">
        <f t="shared" si="23"/>
        <v>1251.1644765481183</v>
      </c>
    </row>
    <row r="355" spans="1:25">
      <c r="A355" s="2" t="s">
        <v>10</v>
      </c>
      <c r="B355" s="2" t="s">
        <v>14</v>
      </c>
      <c r="C355" s="2">
        <v>5.4709017297325246</v>
      </c>
      <c r="D355" s="2">
        <v>95.376450987531996</v>
      </c>
      <c r="E355" s="2">
        <v>241.4926059605373</v>
      </c>
      <c r="J355" s="4">
        <v>1</v>
      </c>
      <c r="K355" s="4">
        <f t="shared" si="20"/>
        <v>6</v>
      </c>
      <c r="L355" s="4">
        <f t="shared" si="21"/>
        <v>3</v>
      </c>
      <c r="M355" s="4">
        <v>5.4709017297325246</v>
      </c>
      <c r="N355" s="4">
        <v>95.376450987531996</v>
      </c>
      <c r="O355" s="4">
        <v>241.4926059605373</v>
      </c>
      <c r="X355" s="22">
        <f t="shared" si="22"/>
        <v>208.97529824497411</v>
      </c>
      <c r="Y355" s="2">
        <f t="shared" si="23"/>
        <v>1057.3753010686255</v>
      </c>
    </row>
    <row r="356" spans="1:25">
      <c r="A356" s="2" t="s">
        <v>8</v>
      </c>
      <c r="B356" s="2" t="s">
        <v>17</v>
      </c>
      <c r="C356" s="2">
        <v>9.8900696819339853</v>
      </c>
      <c r="D356" s="2">
        <v>121.31430980616869</v>
      </c>
      <c r="E356" s="2">
        <v>334.00120523880031</v>
      </c>
      <c r="J356" s="4">
        <v>1</v>
      </c>
      <c r="K356" s="4">
        <f t="shared" si="20"/>
        <v>4</v>
      </c>
      <c r="L356" s="4">
        <f t="shared" si="21"/>
        <v>6</v>
      </c>
      <c r="M356" s="4">
        <v>9.8900696819339853</v>
      </c>
      <c r="N356" s="4">
        <v>121.31430980616869</v>
      </c>
      <c r="O356" s="4">
        <v>334.00120523880031</v>
      </c>
      <c r="X356" s="22">
        <f t="shared" si="22"/>
        <v>302.93547668308514</v>
      </c>
      <c r="Y356" s="2">
        <f t="shared" si="23"/>
        <v>965.07949069737685</v>
      </c>
    </row>
    <row r="357" spans="1:25">
      <c r="A357" s="2" t="s">
        <v>10</v>
      </c>
      <c r="B357" s="2" t="s">
        <v>13</v>
      </c>
      <c r="C357" s="2">
        <v>2.2279577730105982</v>
      </c>
      <c r="D357" s="2">
        <v>128.7089339299865</v>
      </c>
      <c r="E357" s="2">
        <v>227.92809574179429</v>
      </c>
      <c r="J357" s="4">
        <v>1</v>
      </c>
      <c r="K357" s="4">
        <f t="shared" si="20"/>
        <v>6</v>
      </c>
      <c r="L357" s="4">
        <f t="shared" si="21"/>
        <v>2</v>
      </c>
      <c r="M357" s="4">
        <v>2.2279577730105982</v>
      </c>
      <c r="N357" s="4">
        <v>128.7089339299865</v>
      </c>
      <c r="O357" s="4">
        <v>227.92809574179429</v>
      </c>
      <c r="X357" s="22">
        <f t="shared" si="22"/>
        <v>218.71525396911622</v>
      </c>
      <c r="Y357" s="2">
        <f t="shared" si="23"/>
        <v>84.876453528402095</v>
      </c>
    </row>
    <row r="358" spans="1:25">
      <c r="A358" s="2" t="s">
        <v>11</v>
      </c>
      <c r="B358" s="2" t="s">
        <v>14</v>
      </c>
      <c r="C358" s="2">
        <v>7.2563009864283439</v>
      </c>
      <c r="D358" s="2">
        <v>23.637403183037481</v>
      </c>
      <c r="E358" s="2">
        <v>105.0917599145901</v>
      </c>
      <c r="J358" s="4">
        <v>1</v>
      </c>
      <c r="K358" s="4">
        <f t="shared" si="20"/>
        <v>7</v>
      </c>
      <c r="L358" s="4">
        <f t="shared" si="21"/>
        <v>3</v>
      </c>
      <c r="M358" s="4">
        <v>7.2563009864283439</v>
      </c>
      <c r="N358" s="4">
        <v>23.637403183037481</v>
      </c>
      <c r="O358" s="4">
        <v>105.0917599145901</v>
      </c>
      <c r="X358" s="22">
        <f t="shared" si="22"/>
        <v>123.64378055483552</v>
      </c>
      <c r="Y358" s="2">
        <f t="shared" si="23"/>
        <v>344.17746983609197</v>
      </c>
    </row>
    <row r="359" spans="1:25">
      <c r="A359" s="2" t="s">
        <v>8</v>
      </c>
      <c r="B359" s="2" t="s">
        <v>17</v>
      </c>
      <c r="C359" s="2">
        <v>4.6388689129386291</v>
      </c>
      <c r="D359" s="2">
        <v>139.69727203244639</v>
      </c>
      <c r="E359" s="2">
        <v>278.50256795471051</v>
      </c>
      <c r="J359" s="4">
        <v>1</v>
      </c>
      <c r="K359" s="4">
        <f t="shared" si="20"/>
        <v>4</v>
      </c>
      <c r="L359" s="4">
        <f t="shared" si="21"/>
        <v>6</v>
      </c>
      <c r="M359" s="4">
        <v>4.6388689129386291</v>
      </c>
      <c r="N359" s="4">
        <v>139.69727203244639</v>
      </c>
      <c r="O359" s="4">
        <v>278.50256795471051</v>
      </c>
      <c r="X359" s="22">
        <f t="shared" si="22"/>
        <v>265.58974361803593</v>
      </c>
      <c r="Y359" s="2">
        <f t="shared" si="23"/>
        <v>166.74103234981555</v>
      </c>
    </row>
    <row r="360" spans="1:25">
      <c r="A360" s="2" t="s">
        <v>11</v>
      </c>
      <c r="B360" s="2" t="s">
        <v>15</v>
      </c>
      <c r="C360" s="2">
        <v>4.8537965343305327</v>
      </c>
      <c r="D360" s="2">
        <v>55.967019259950618</v>
      </c>
      <c r="E360" s="2">
        <v>149.9584570407234</v>
      </c>
      <c r="J360" s="4">
        <v>1</v>
      </c>
      <c r="K360" s="4">
        <f t="shared" si="20"/>
        <v>7</v>
      </c>
      <c r="L360" s="4">
        <f t="shared" si="21"/>
        <v>4</v>
      </c>
      <c r="M360" s="4">
        <v>4.8537965343305327</v>
      </c>
      <c r="N360" s="4">
        <v>55.967019259950618</v>
      </c>
      <c r="O360" s="4">
        <v>149.9584570407234</v>
      </c>
      <c r="X360" s="22">
        <f t="shared" si="22"/>
        <v>141.96438242707748</v>
      </c>
      <c r="Y360" s="2">
        <f t="shared" si="23"/>
        <v>63.905228928538186</v>
      </c>
    </row>
    <row r="361" spans="1:25">
      <c r="A361" s="2" t="s">
        <v>7</v>
      </c>
      <c r="B361" s="2" t="s">
        <v>15</v>
      </c>
      <c r="C361" s="2">
        <v>7.4583798909235863</v>
      </c>
      <c r="D361" s="2">
        <v>145.6510001762521</v>
      </c>
      <c r="E361" s="2">
        <v>305.75300303316982</v>
      </c>
      <c r="J361" s="4">
        <v>1</v>
      </c>
      <c r="K361" s="4">
        <f t="shared" si="20"/>
        <v>2</v>
      </c>
      <c r="L361" s="4">
        <f t="shared" si="21"/>
        <v>4</v>
      </c>
      <c r="M361" s="4">
        <v>7.4583798909235863</v>
      </c>
      <c r="N361" s="4">
        <v>145.6510001762521</v>
      </c>
      <c r="O361" s="4">
        <v>305.75300303316982</v>
      </c>
      <c r="X361" s="22">
        <f t="shared" si="22"/>
        <v>310.84903922673845</v>
      </c>
      <c r="Y361" s="2">
        <f t="shared" si="23"/>
        <v>25.969584886161517</v>
      </c>
    </row>
    <row r="362" spans="1:25">
      <c r="A362" s="2" t="s">
        <v>9</v>
      </c>
      <c r="B362" s="2" t="s">
        <v>12</v>
      </c>
      <c r="C362" s="2">
        <v>7.2319253619193269</v>
      </c>
      <c r="D362" s="2">
        <v>166.28161093299741</v>
      </c>
      <c r="E362" s="2">
        <v>374.41002085235527</v>
      </c>
      <c r="J362" s="4">
        <v>1</v>
      </c>
      <c r="K362" s="4">
        <f t="shared" si="20"/>
        <v>5</v>
      </c>
      <c r="L362" s="4">
        <f t="shared" si="21"/>
        <v>1</v>
      </c>
      <c r="M362" s="4">
        <v>7.2319253619193269</v>
      </c>
      <c r="N362" s="4">
        <v>166.28161093299741</v>
      </c>
      <c r="O362" s="4">
        <v>374.41002085235527</v>
      </c>
      <c r="X362" s="22">
        <f t="shared" si="22"/>
        <v>337.0174261171702</v>
      </c>
      <c r="Y362" s="2">
        <f t="shared" si="23"/>
        <v>1398.2061410297904</v>
      </c>
    </row>
    <row r="363" spans="1:25">
      <c r="A363" s="2" t="s">
        <v>10</v>
      </c>
      <c r="B363" s="2" t="s">
        <v>17</v>
      </c>
      <c r="C363" s="2">
        <v>9.9213039433196943</v>
      </c>
      <c r="D363" s="2">
        <v>162.75211643497889</v>
      </c>
      <c r="E363" s="2">
        <v>295.11605572772652</v>
      </c>
      <c r="J363" s="4">
        <v>1</v>
      </c>
      <c r="K363" s="4">
        <f t="shared" si="20"/>
        <v>6</v>
      </c>
      <c r="L363" s="4">
        <f t="shared" si="21"/>
        <v>6</v>
      </c>
      <c r="M363" s="4">
        <v>9.9213039433196943</v>
      </c>
      <c r="N363" s="4">
        <v>162.75211643497889</v>
      </c>
      <c r="O363" s="4">
        <v>295.11605572772652</v>
      </c>
      <c r="X363" s="22">
        <f t="shared" si="22"/>
        <v>363.48747056660852</v>
      </c>
      <c r="Y363" s="2">
        <f t="shared" si="23"/>
        <v>4674.6503670704942</v>
      </c>
    </row>
    <row r="364" spans="1:25">
      <c r="A364" s="2" t="s">
        <v>9</v>
      </c>
      <c r="B364" s="2" t="s">
        <v>16</v>
      </c>
      <c r="C364" s="2">
        <v>2.1555486050871271</v>
      </c>
      <c r="D364" s="2">
        <v>114.97518380749889</v>
      </c>
      <c r="E364" s="2">
        <v>203.7759289067707</v>
      </c>
      <c r="J364" s="4">
        <v>1</v>
      </c>
      <c r="K364" s="4">
        <f t="shared" si="20"/>
        <v>5</v>
      </c>
      <c r="L364" s="4">
        <f t="shared" si="21"/>
        <v>5</v>
      </c>
      <c r="M364" s="4">
        <v>2.1555486050871271</v>
      </c>
      <c r="N364" s="4">
        <v>114.97518380749889</v>
      </c>
      <c r="O364" s="4">
        <v>203.7759289067707</v>
      </c>
      <c r="X364" s="22">
        <f t="shared" si="22"/>
        <v>197.70293393641569</v>
      </c>
      <c r="Y364" s="2">
        <f t="shared" si="23"/>
        <v>36.881267909957273</v>
      </c>
    </row>
    <row r="365" spans="1:25">
      <c r="A365" s="2" t="s">
        <v>9</v>
      </c>
      <c r="B365" s="2" t="s">
        <v>17</v>
      </c>
      <c r="C365" s="2">
        <v>1.9369868444574969</v>
      </c>
      <c r="D365" s="2">
        <v>108.8322795390427</v>
      </c>
      <c r="E365" s="2">
        <v>176.87601993317139</v>
      </c>
      <c r="J365" s="4">
        <v>1</v>
      </c>
      <c r="K365" s="4">
        <f t="shared" si="20"/>
        <v>5</v>
      </c>
      <c r="L365" s="4">
        <f t="shared" si="21"/>
        <v>6</v>
      </c>
      <c r="M365" s="4">
        <v>1.9369868444574969</v>
      </c>
      <c r="N365" s="4">
        <v>108.8322795390427</v>
      </c>
      <c r="O365" s="4">
        <v>176.87601993317139</v>
      </c>
      <c r="X365" s="22">
        <f t="shared" si="22"/>
        <v>185.74340826354847</v>
      </c>
      <c r="Y365" s="2">
        <f t="shared" si="23"/>
        <v>78.630575801707664</v>
      </c>
    </row>
    <row r="366" spans="1:25">
      <c r="A366" s="2" t="s">
        <v>10</v>
      </c>
      <c r="B366" s="2" t="s">
        <v>14</v>
      </c>
      <c r="C366" s="2">
        <v>7.5190493541586703</v>
      </c>
      <c r="D366" s="2">
        <v>37.146432654488223</v>
      </c>
      <c r="E366" s="2">
        <v>130.85963195618939</v>
      </c>
      <c r="J366" s="4">
        <v>1</v>
      </c>
      <c r="K366" s="4">
        <f t="shared" si="20"/>
        <v>6</v>
      </c>
      <c r="L366" s="4">
        <f t="shared" si="21"/>
        <v>3</v>
      </c>
      <c r="M366" s="4">
        <v>7.5190493541586703</v>
      </c>
      <c r="N366" s="4">
        <v>37.146432654488223</v>
      </c>
      <c r="O366" s="4">
        <v>130.85963195618939</v>
      </c>
      <c r="X366" s="22">
        <f t="shared" si="22"/>
        <v>147.66149867671106</v>
      </c>
      <c r="Y366" s="2">
        <f t="shared" si="23"/>
        <v>282.30272529417374</v>
      </c>
    </row>
    <row r="367" spans="1:25">
      <c r="A367" s="2" t="s">
        <v>8</v>
      </c>
      <c r="B367" s="2" t="s">
        <v>14</v>
      </c>
      <c r="C367" s="2">
        <v>6.2054822530576814</v>
      </c>
      <c r="D367" s="2">
        <v>157.31576857659579</v>
      </c>
      <c r="E367" s="2">
        <v>349.40697514418878</v>
      </c>
      <c r="J367" s="4">
        <v>1</v>
      </c>
      <c r="K367" s="4">
        <f t="shared" si="20"/>
        <v>4</v>
      </c>
      <c r="L367" s="4">
        <f t="shared" si="21"/>
        <v>3</v>
      </c>
      <c r="M367" s="4">
        <v>6.2054822530576814</v>
      </c>
      <c r="N367" s="4">
        <v>157.31576857659579</v>
      </c>
      <c r="O367" s="4">
        <v>349.40697514418878</v>
      </c>
      <c r="X367" s="22">
        <f t="shared" si="22"/>
        <v>311.48164449540553</v>
      </c>
      <c r="Y367" s="2">
        <f t="shared" si="23"/>
        <v>1438.3307048195377</v>
      </c>
    </row>
    <row r="368" spans="1:25">
      <c r="A368" s="2" t="s">
        <v>7</v>
      </c>
      <c r="B368" s="2" t="s">
        <v>17</v>
      </c>
      <c r="C368" s="2">
        <v>3.4674459990382531</v>
      </c>
      <c r="D368" s="2">
        <v>61.567782284875733</v>
      </c>
      <c r="E368" s="2">
        <v>118.91145092363919</v>
      </c>
      <c r="J368" s="4">
        <v>1</v>
      </c>
      <c r="K368" s="4">
        <f t="shared" si="20"/>
        <v>2</v>
      </c>
      <c r="L368" s="4">
        <f t="shared" si="21"/>
        <v>6</v>
      </c>
      <c r="M368" s="4">
        <v>3.4674459990382531</v>
      </c>
      <c r="N368" s="4">
        <v>61.567782284875733</v>
      </c>
      <c r="O368" s="4">
        <v>118.91145092363919</v>
      </c>
      <c r="X368" s="22">
        <f t="shared" si="22"/>
        <v>136.46998439600412</v>
      </c>
      <c r="Y368" s="2">
        <f t="shared" si="23"/>
        <v>308.30209770015961</v>
      </c>
    </row>
    <row r="369" spans="1:25">
      <c r="A369" s="2" t="s">
        <v>11</v>
      </c>
      <c r="B369" s="2" t="s">
        <v>13</v>
      </c>
      <c r="C369" s="2">
        <v>1.714774320900879</v>
      </c>
      <c r="D369" s="2">
        <v>104.37213033540981</v>
      </c>
      <c r="E369" s="2">
        <v>177.54597255359289</v>
      </c>
      <c r="J369" s="4">
        <v>1</v>
      </c>
      <c r="K369" s="4">
        <f t="shared" si="20"/>
        <v>7</v>
      </c>
      <c r="L369" s="4">
        <f t="shared" si="21"/>
        <v>2</v>
      </c>
      <c r="M369" s="4">
        <v>1.714774320900879</v>
      </c>
      <c r="N369" s="4">
        <v>104.37213033540981</v>
      </c>
      <c r="O369" s="4">
        <v>177.54597255359289</v>
      </c>
      <c r="X369" s="22">
        <f t="shared" si="22"/>
        <v>175.52255135175128</v>
      </c>
      <c r="Y369" s="2">
        <f t="shared" si="23"/>
        <v>4.0942333600621632</v>
      </c>
    </row>
    <row r="370" spans="1:25">
      <c r="A370" s="2" t="s">
        <v>6</v>
      </c>
      <c r="B370" s="2" t="s">
        <v>15</v>
      </c>
      <c r="C370" s="2">
        <v>1.7709242463678749</v>
      </c>
      <c r="D370" s="2">
        <v>64.012077656228172</v>
      </c>
      <c r="E370" s="2">
        <v>108.8559022886283</v>
      </c>
      <c r="J370" s="4">
        <v>1</v>
      </c>
      <c r="K370" s="4">
        <f t="shared" si="20"/>
        <v>3</v>
      </c>
      <c r="L370" s="4">
        <f t="shared" si="21"/>
        <v>4</v>
      </c>
      <c r="M370" s="4">
        <v>1.7709242463678749</v>
      </c>
      <c r="N370" s="4">
        <v>64.012077656228172</v>
      </c>
      <c r="O370" s="4">
        <v>108.8559022886283</v>
      </c>
      <c r="X370" s="22">
        <f t="shared" si="22"/>
        <v>118.7829250886562</v>
      </c>
      <c r="Y370" s="2">
        <f t="shared" si="23"/>
        <v>98.545781672273748</v>
      </c>
    </row>
    <row r="371" spans="1:25">
      <c r="A371" s="2" t="s">
        <v>11</v>
      </c>
      <c r="B371" s="2" t="s">
        <v>14</v>
      </c>
      <c r="C371" s="2">
        <v>9.0477178719770652</v>
      </c>
      <c r="D371" s="2">
        <v>35.427388969941703</v>
      </c>
      <c r="E371" s="2">
        <v>143.31715977734069</v>
      </c>
      <c r="J371" s="4">
        <v>1</v>
      </c>
      <c r="K371" s="4">
        <f t="shared" si="20"/>
        <v>7</v>
      </c>
      <c r="L371" s="4">
        <f t="shared" si="21"/>
        <v>3</v>
      </c>
      <c r="M371" s="4">
        <v>9.0477178719770652</v>
      </c>
      <c r="N371" s="4">
        <v>35.427388969941703</v>
      </c>
      <c r="O371" s="4">
        <v>143.31715977734069</v>
      </c>
      <c r="X371" s="22">
        <f t="shared" si="22"/>
        <v>163.22470808941355</v>
      </c>
      <c r="Y371" s="2">
        <f t="shared" si="23"/>
        <v>396.31047979751509</v>
      </c>
    </row>
    <row r="372" spans="1:25">
      <c r="A372" s="2" t="s">
        <v>6</v>
      </c>
      <c r="B372" s="2" t="s">
        <v>15</v>
      </c>
      <c r="C372" s="2">
        <v>2.726805922468686</v>
      </c>
      <c r="D372" s="2">
        <v>129.61596240943001</v>
      </c>
      <c r="E372" s="2">
        <v>185.33747761458659</v>
      </c>
      <c r="J372" s="4">
        <v>1</v>
      </c>
      <c r="K372" s="4">
        <f t="shared" si="20"/>
        <v>3</v>
      </c>
      <c r="L372" s="4">
        <f t="shared" si="21"/>
        <v>4</v>
      </c>
      <c r="M372" s="4">
        <v>2.726805922468686</v>
      </c>
      <c r="N372" s="4">
        <v>129.61596240943001</v>
      </c>
      <c r="O372" s="4">
        <v>185.33747761458659</v>
      </c>
      <c r="X372" s="22">
        <f t="shared" si="22"/>
        <v>228.0472835045237</v>
      </c>
      <c r="Y372" s="2">
        <f t="shared" si="23"/>
        <v>1824.1275191561072</v>
      </c>
    </row>
    <row r="373" spans="1:25">
      <c r="A373" s="2" t="s">
        <v>11</v>
      </c>
      <c r="B373" s="2" t="s">
        <v>14</v>
      </c>
      <c r="C373" s="2">
        <v>3.9103440590396872</v>
      </c>
      <c r="D373" s="2">
        <v>20.323086616351731</v>
      </c>
      <c r="E373" s="2">
        <v>99.783072025847474</v>
      </c>
      <c r="J373" s="4">
        <v>1</v>
      </c>
      <c r="K373" s="4">
        <f t="shared" si="20"/>
        <v>7</v>
      </c>
      <c r="L373" s="4">
        <f t="shared" si="21"/>
        <v>3</v>
      </c>
      <c r="M373" s="4">
        <v>3.9103440590396872</v>
      </c>
      <c r="N373" s="4">
        <v>20.323086616351731</v>
      </c>
      <c r="O373" s="4">
        <v>99.783072025847474</v>
      </c>
      <c r="X373" s="22">
        <f t="shared" si="22"/>
        <v>77.515510083878439</v>
      </c>
      <c r="Y373" s="2">
        <f t="shared" si="23"/>
        <v>495.8443148394278</v>
      </c>
    </row>
    <row r="374" spans="1:25">
      <c r="A374" s="2" t="s">
        <v>10</v>
      </c>
      <c r="B374" s="2" t="s">
        <v>12</v>
      </c>
      <c r="C374" s="2">
        <v>3.0399076200428921</v>
      </c>
      <c r="D374" s="2">
        <v>152.242594483978</v>
      </c>
      <c r="E374" s="2">
        <v>248.84718970186961</v>
      </c>
      <c r="J374" s="4">
        <v>1</v>
      </c>
      <c r="K374" s="4">
        <f t="shared" si="20"/>
        <v>6</v>
      </c>
      <c r="L374" s="4">
        <f t="shared" si="21"/>
        <v>1</v>
      </c>
      <c r="M374" s="4">
        <v>3.0399076200428921</v>
      </c>
      <c r="N374" s="4">
        <v>152.242594483978</v>
      </c>
      <c r="O374" s="4">
        <v>248.84718970186961</v>
      </c>
      <c r="X374" s="22">
        <f t="shared" si="22"/>
        <v>263.8261624863236</v>
      </c>
      <c r="Y374" s="2">
        <f t="shared" si="23"/>
        <v>224.36962567741321</v>
      </c>
    </row>
    <row r="375" spans="1:25">
      <c r="A375" s="2" t="s">
        <v>7</v>
      </c>
      <c r="B375" s="2" t="s">
        <v>16</v>
      </c>
      <c r="C375" s="2">
        <v>4.1949667524874359</v>
      </c>
      <c r="D375" s="2">
        <v>70.341491099612171</v>
      </c>
      <c r="E375" s="2">
        <v>139.9493506913964</v>
      </c>
      <c r="J375" s="4">
        <v>1</v>
      </c>
      <c r="K375" s="4">
        <f t="shared" si="20"/>
        <v>2</v>
      </c>
      <c r="L375" s="4">
        <f t="shared" si="21"/>
        <v>5</v>
      </c>
      <c r="M375" s="4">
        <v>4.1949667524874359</v>
      </c>
      <c r="N375" s="4">
        <v>70.341491099612171</v>
      </c>
      <c r="O375" s="4">
        <v>139.9493506913964</v>
      </c>
      <c r="X375" s="22">
        <f t="shared" si="22"/>
        <v>158.60656700171467</v>
      </c>
      <c r="Y375" s="2">
        <f t="shared" si="23"/>
        <v>348.09172045000577</v>
      </c>
    </row>
    <row r="376" spans="1:25">
      <c r="A376" s="2" t="s">
        <v>6</v>
      </c>
      <c r="B376" s="2" t="s">
        <v>14</v>
      </c>
      <c r="C376" s="2">
        <v>1.6248145847148401</v>
      </c>
      <c r="D376" s="2">
        <v>10.02559167085221</v>
      </c>
      <c r="E376" s="2">
        <v>44.67157310424961</v>
      </c>
      <c r="J376" s="4">
        <v>1</v>
      </c>
      <c r="K376" s="4">
        <f t="shared" si="20"/>
        <v>3</v>
      </c>
      <c r="L376" s="4">
        <f t="shared" si="21"/>
        <v>3</v>
      </c>
      <c r="M376" s="4">
        <v>1.6248145847148401</v>
      </c>
      <c r="N376" s="4">
        <v>10.02559167085221</v>
      </c>
      <c r="O376" s="4">
        <v>44.67157310424961</v>
      </c>
      <c r="X376" s="22">
        <f t="shared" si="22"/>
        <v>36.89399535364474</v>
      </c>
      <c r="Y376" s="2">
        <f t="shared" si="23"/>
        <v>60.490715666703906</v>
      </c>
    </row>
    <row r="377" spans="1:25">
      <c r="A377" s="2" t="s">
        <v>5</v>
      </c>
      <c r="B377" s="2" t="s">
        <v>15</v>
      </c>
      <c r="C377" s="2">
        <v>5.6715381181744338</v>
      </c>
      <c r="D377" s="2">
        <v>107.1145364550737</v>
      </c>
      <c r="E377" s="2">
        <v>246.4647481037866</v>
      </c>
      <c r="J377" s="4">
        <v>1</v>
      </c>
      <c r="K377" s="4">
        <f t="shared" si="20"/>
        <v>1</v>
      </c>
      <c r="L377" s="4">
        <f t="shared" si="21"/>
        <v>4</v>
      </c>
      <c r="M377" s="4">
        <v>5.6715381181744338</v>
      </c>
      <c r="N377" s="4">
        <v>107.1145364550737</v>
      </c>
      <c r="O377" s="4">
        <v>246.4647481037866</v>
      </c>
      <c r="X377" s="22">
        <f t="shared" si="22"/>
        <v>232.2832362108503</v>
      </c>
      <c r="Y377" s="2">
        <f t="shared" si="23"/>
        <v>201.11527956949371</v>
      </c>
    </row>
    <row r="378" spans="1:25">
      <c r="A378" s="2" t="s">
        <v>8</v>
      </c>
      <c r="B378" s="2" t="s">
        <v>12</v>
      </c>
      <c r="C378" s="2">
        <v>1.6085130723299339</v>
      </c>
      <c r="D378" s="2">
        <v>18.901862620244589</v>
      </c>
      <c r="E378" s="2">
        <v>64.307381714008159</v>
      </c>
      <c r="J378" s="4">
        <v>1</v>
      </c>
      <c r="K378" s="4">
        <f t="shared" si="20"/>
        <v>4</v>
      </c>
      <c r="L378" s="4">
        <f t="shared" si="21"/>
        <v>1</v>
      </c>
      <c r="M378" s="4">
        <v>1.6085130723299339</v>
      </c>
      <c r="N378" s="4">
        <v>18.901862620244589</v>
      </c>
      <c r="O378" s="4">
        <v>64.307381714008159</v>
      </c>
      <c r="X378" s="22">
        <f t="shared" si="22"/>
        <v>49.456066060500291</v>
      </c>
      <c r="Y378" s="2">
        <f t="shared" si="23"/>
        <v>220.56157664012784</v>
      </c>
    </row>
    <row r="379" spans="1:25">
      <c r="A379" s="2" t="s">
        <v>11</v>
      </c>
      <c r="B379" s="2" t="s">
        <v>14</v>
      </c>
      <c r="C379" s="2">
        <v>8.2032085704012552</v>
      </c>
      <c r="D379" s="2">
        <v>62.472215985970898</v>
      </c>
      <c r="E379" s="2">
        <v>139.9076053008335</v>
      </c>
      <c r="J379" s="4">
        <v>1</v>
      </c>
      <c r="K379" s="4">
        <f t="shared" si="20"/>
        <v>7</v>
      </c>
      <c r="L379" s="4">
        <f t="shared" si="21"/>
        <v>3</v>
      </c>
      <c r="M379" s="4">
        <v>8.2032085704012552</v>
      </c>
      <c r="N379" s="4">
        <v>62.472215985970898</v>
      </c>
      <c r="O379" s="4">
        <v>139.9076053008335</v>
      </c>
      <c r="X379" s="22">
        <f t="shared" si="22"/>
        <v>193.0163258165021</v>
      </c>
      <c r="Y379" s="2">
        <f t="shared" si="23"/>
        <v>2820.5361948113996</v>
      </c>
    </row>
    <row r="380" spans="1:25">
      <c r="A380" s="2" t="s">
        <v>11</v>
      </c>
      <c r="B380" s="2" t="s">
        <v>13</v>
      </c>
      <c r="C380" s="2">
        <v>3.103408737193897</v>
      </c>
      <c r="D380" s="2">
        <v>144.32553261658609</v>
      </c>
      <c r="E380" s="2">
        <v>307.60198608442067</v>
      </c>
      <c r="J380" s="4">
        <v>1</v>
      </c>
      <c r="K380" s="4">
        <f t="shared" si="20"/>
        <v>7</v>
      </c>
      <c r="L380" s="4">
        <f t="shared" si="21"/>
        <v>2</v>
      </c>
      <c r="M380" s="4">
        <v>3.103408737193897</v>
      </c>
      <c r="N380" s="4">
        <v>144.32553261658609</v>
      </c>
      <c r="O380" s="4">
        <v>307.60198608442067</v>
      </c>
      <c r="X380" s="22">
        <f t="shared" si="22"/>
        <v>251.99695036061107</v>
      </c>
      <c r="Y380" s="2">
        <f t="shared" si="23"/>
        <v>3091.9199978461425</v>
      </c>
    </row>
    <row r="381" spans="1:25">
      <c r="A381" s="2" t="s">
        <v>6</v>
      </c>
      <c r="B381" s="2" t="s">
        <v>16</v>
      </c>
      <c r="C381" s="2">
        <v>5.8601072314405958</v>
      </c>
      <c r="D381" s="2">
        <v>21.911028108154511</v>
      </c>
      <c r="E381" s="2">
        <v>95.722088897748748</v>
      </c>
      <c r="J381" s="4">
        <v>1</v>
      </c>
      <c r="K381" s="4">
        <f t="shared" si="20"/>
        <v>3</v>
      </c>
      <c r="L381" s="4">
        <f t="shared" si="21"/>
        <v>5</v>
      </c>
      <c r="M381" s="4">
        <v>5.8601072314405958</v>
      </c>
      <c r="N381" s="4">
        <v>21.911028108154511</v>
      </c>
      <c r="O381" s="4">
        <v>95.722088897748748</v>
      </c>
      <c r="X381" s="22">
        <f t="shared" si="22"/>
        <v>106.43285657137206</v>
      </c>
      <c r="Y381" s="2">
        <f t="shared" si="23"/>
        <v>114.72054415833406</v>
      </c>
    </row>
    <row r="382" spans="1:25">
      <c r="A382" s="2" t="s">
        <v>8</v>
      </c>
      <c r="B382" s="2" t="s">
        <v>14</v>
      </c>
      <c r="C382" s="2">
        <v>8.9207117880531239</v>
      </c>
      <c r="D382" s="2">
        <v>169.47431354764041</v>
      </c>
      <c r="E382" s="2">
        <v>348.6902457180675</v>
      </c>
      <c r="J382" s="4">
        <v>1</v>
      </c>
      <c r="K382" s="4">
        <f t="shared" si="20"/>
        <v>4</v>
      </c>
      <c r="L382" s="4">
        <f t="shared" si="21"/>
        <v>3</v>
      </c>
      <c r="M382" s="4">
        <v>8.9207117880531239</v>
      </c>
      <c r="N382" s="4">
        <v>169.47431354764041</v>
      </c>
      <c r="O382" s="4">
        <v>348.6902457180675</v>
      </c>
      <c r="X382" s="22">
        <f t="shared" si="22"/>
        <v>362.98632851679827</v>
      </c>
      <c r="Y382" s="2">
        <f t="shared" si="23"/>
        <v>204.37798338816566</v>
      </c>
    </row>
    <row r="383" spans="1:25">
      <c r="A383" s="2" t="s">
        <v>8</v>
      </c>
      <c r="B383" s="2" t="s">
        <v>12</v>
      </c>
      <c r="C383" s="2">
        <v>6.8578963214247466</v>
      </c>
      <c r="D383" s="2">
        <v>10.72578530513079</v>
      </c>
      <c r="E383" s="2">
        <v>68.088745818721435</v>
      </c>
      <c r="J383" s="4">
        <v>1</v>
      </c>
      <c r="K383" s="4">
        <f t="shared" si="20"/>
        <v>4</v>
      </c>
      <c r="L383" s="4">
        <f t="shared" si="21"/>
        <v>1</v>
      </c>
      <c r="M383" s="4">
        <v>6.8578963214247466</v>
      </c>
      <c r="N383" s="4">
        <v>10.72578530513079</v>
      </c>
      <c r="O383" s="4">
        <v>68.088745818721435</v>
      </c>
      <c r="X383" s="22">
        <f t="shared" si="22"/>
        <v>101.94778793691171</v>
      </c>
      <c r="Y383" s="2">
        <f t="shared" si="23"/>
        <v>1146.4347331613828</v>
      </c>
    </row>
    <row r="384" spans="1:25">
      <c r="A384" s="2" t="s">
        <v>10</v>
      </c>
      <c r="B384" s="2" t="s">
        <v>13</v>
      </c>
      <c r="C384" s="2">
        <v>5.7966200789620181</v>
      </c>
      <c r="D384" s="2">
        <v>56.89653514836143</v>
      </c>
      <c r="E384" s="2">
        <v>148.77591287270931</v>
      </c>
      <c r="J384" s="4">
        <v>1</v>
      </c>
      <c r="K384" s="4">
        <f t="shared" si="20"/>
        <v>6</v>
      </c>
      <c r="L384" s="4">
        <f t="shared" si="21"/>
        <v>2</v>
      </c>
      <c r="M384" s="4">
        <v>5.7966200789620181</v>
      </c>
      <c r="N384" s="4">
        <v>56.89653514836143</v>
      </c>
      <c r="O384" s="4">
        <v>148.77591287270931</v>
      </c>
      <c r="X384" s="22">
        <f t="shared" si="22"/>
        <v>155.94075836005339</v>
      </c>
      <c r="Y384" s="2">
        <f t="shared" si="23"/>
        <v>51.335010857514845</v>
      </c>
    </row>
    <row r="385" spans="1:25">
      <c r="A385" s="2" t="s">
        <v>5</v>
      </c>
      <c r="B385" s="2" t="s">
        <v>17</v>
      </c>
      <c r="C385" s="2">
        <v>3.91900377803838</v>
      </c>
      <c r="D385" s="2">
        <v>150.77177066889359</v>
      </c>
      <c r="E385" s="2">
        <v>267.65922418735408</v>
      </c>
      <c r="J385" s="4">
        <v>1</v>
      </c>
      <c r="K385" s="4">
        <f t="shared" si="20"/>
        <v>1</v>
      </c>
      <c r="L385" s="4">
        <f t="shared" si="21"/>
        <v>6</v>
      </c>
      <c r="M385" s="4">
        <v>3.91900377803838</v>
      </c>
      <c r="N385" s="4">
        <v>150.77177066889359</v>
      </c>
      <c r="O385" s="4">
        <v>267.65922418735408</v>
      </c>
      <c r="X385" s="22">
        <f t="shared" si="22"/>
        <v>275.30241956495564</v>
      </c>
      <c r="Y385" s="2">
        <f t="shared" si="23"/>
        <v>58.418435580189815</v>
      </c>
    </row>
    <row r="386" spans="1:25">
      <c r="A386" s="2" t="s">
        <v>10</v>
      </c>
      <c r="B386" s="2" t="s">
        <v>12</v>
      </c>
      <c r="C386" s="2">
        <v>3.9970172175237808</v>
      </c>
      <c r="D386" s="2">
        <v>70.091328448568291</v>
      </c>
      <c r="E386" s="2">
        <v>139.8629487971539</v>
      </c>
      <c r="J386" s="4">
        <v>1</v>
      </c>
      <c r="K386" s="4">
        <f t="shared" si="20"/>
        <v>6</v>
      </c>
      <c r="L386" s="4">
        <f t="shared" si="21"/>
        <v>1</v>
      </c>
      <c r="M386" s="4">
        <v>3.9970172175237808</v>
      </c>
      <c r="N386" s="4">
        <v>70.091328448568291</v>
      </c>
      <c r="O386" s="4">
        <v>139.8629487971539</v>
      </c>
      <c r="X386" s="22">
        <f t="shared" si="22"/>
        <v>153.52789191557451</v>
      </c>
      <c r="Y386" s="2">
        <f t="shared" si="23"/>
        <v>186.73067042967077</v>
      </c>
    </row>
    <row r="387" spans="1:25">
      <c r="A387" s="2" t="s">
        <v>10</v>
      </c>
      <c r="B387" s="2" t="s">
        <v>12</v>
      </c>
      <c r="C387" s="2">
        <v>7.0253825967837109</v>
      </c>
      <c r="D387" s="2">
        <v>29.359553732542569</v>
      </c>
      <c r="E387" s="2">
        <v>118.75733148230761</v>
      </c>
      <c r="J387" s="4">
        <v>1</v>
      </c>
      <c r="K387" s="4">
        <f t="shared" si="20"/>
        <v>6</v>
      </c>
      <c r="L387" s="4">
        <f t="shared" si="21"/>
        <v>1</v>
      </c>
      <c r="M387" s="4">
        <v>7.0253825967837109</v>
      </c>
      <c r="N387" s="4">
        <v>29.359553732542569</v>
      </c>
      <c r="O387" s="4">
        <v>118.75733148230761</v>
      </c>
      <c r="X387" s="22">
        <f t="shared" si="22"/>
        <v>130.28872167903918</v>
      </c>
      <c r="Y387" s="2">
        <f t="shared" si="23"/>
        <v>132.97295986927716</v>
      </c>
    </row>
    <row r="388" spans="1:25">
      <c r="A388" s="2" t="s">
        <v>10</v>
      </c>
      <c r="B388" s="2" t="s">
        <v>13</v>
      </c>
      <c r="C388" s="2">
        <v>9.9472542509905075</v>
      </c>
      <c r="D388" s="2">
        <v>78.444444572081295</v>
      </c>
      <c r="E388" s="2">
        <v>278.14751234323859</v>
      </c>
      <c r="J388" s="4">
        <v>1</v>
      </c>
      <c r="K388" s="4">
        <f t="shared" ref="K388:K451" si="24">VLOOKUP(A388, $F$3:$G$9, 2, FALSE)</f>
        <v>6</v>
      </c>
      <c r="L388" s="4">
        <f t="shared" ref="L388:L451" si="25">VLOOKUP(B388, $H$3:$I$8, 2, FALSE)</f>
        <v>2</v>
      </c>
      <c r="M388" s="4">
        <v>9.9472542509905075</v>
      </c>
      <c r="N388" s="4">
        <v>78.444444572081295</v>
      </c>
      <c r="O388" s="4">
        <v>278.14751234323859</v>
      </c>
      <c r="X388" s="22">
        <f t="shared" ref="X388:X451" si="26">$U$16+$U$17*K388+$U$18*L388+$U$19*M388+$U$20*N388</f>
        <v>239.07480816544535</v>
      </c>
      <c r="Y388" s="2">
        <f t="shared" ref="Y388:Y451" si="27">POWER(O388-X388,2)</f>
        <v>1526.6762117653413</v>
      </c>
    </row>
    <row r="389" spans="1:25">
      <c r="A389" s="2" t="s">
        <v>10</v>
      </c>
      <c r="B389" s="2" t="s">
        <v>12</v>
      </c>
      <c r="C389" s="2">
        <v>6.9565527086444066</v>
      </c>
      <c r="D389" s="2">
        <v>61.374724413059852</v>
      </c>
      <c r="E389" s="2">
        <v>250.6377201343397</v>
      </c>
      <c r="J389" s="4">
        <v>1</v>
      </c>
      <c r="K389" s="4">
        <f t="shared" si="24"/>
        <v>6</v>
      </c>
      <c r="L389" s="4">
        <f t="shared" si="25"/>
        <v>1</v>
      </c>
      <c r="M389" s="4">
        <v>6.9565527086444066</v>
      </c>
      <c r="N389" s="4">
        <v>61.374724413059852</v>
      </c>
      <c r="O389" s="4">
        <v>250.6377201343397</v>
      </c>
      <c r="X389" s="22">
        <f t="shared" si="26"/>
        <v>177.01862397907664</v>
      </c>
      <c r="Y389" s="2">
        <f t="shared" si="27"/>
        <v>5419.7713187178688</v>
      </c>
    </row>
    <row r="390" spans="1:25">
      <c r="A390" s="2" t="s">
        <v>10</v>
      </c>
      <c r="B390" s="2" t="s">
        <v>13</v>
      </c>
      <c r="C390" s="2">
        <v>6.0200507563302246</v>
      </c>
      <c r="D390" s="2">
        <v>170.11526141050541</v>
      </c>
      <c r="E390" s="2">
        <v>346.94280749292511</v>
      </c>
      <c r="J390" s="4">
        <v>1</v>
      </c>
      <c r="K390" s="4">
        <f t="shared" si="24"/>
        <v>6</v>
      </c>
      <c r="L390" s="4">
        <f t="shared" si="25"/>
        <v>2</v>
      </c>
      <c r="M390" s="4">
        <v>6.0200507563302246</v>
      </c>
      <c r="N390" s="4">
        <v>170.11526141050541</v>
      </c>
      <c r="O390" s="4">
        <v>346.94280749292511</v>
      </c>
      <c r="X390" s="22">
        <f t="shared" si="26"/>
        <v>326.94558078748111</v>
      </c>
      <c r="Y390" s="2">
        <f t="shared" si="27"/>
        <v>399.88907590892296</v>
      </c>
    </row>
    <row r="391" spans="1:25">
      <c r="A391" s="2" t="s">
        <v>7</v>
      </c>
      <c r="B391" s="2" t="s">
        <v>14</v>
      </c>
      <c r="C391" s="2">
        <v>7.575854592153215</v>
      </c>
      <c r="D391" s="2">
        <v>69.536104341177193</v>
      </c>
      <c r="E391" s="2">
        <v>236.5485162042186</v>
      </c>
      <c r="J391" s="4">
        <v>1</v>
      </c>
      <c r="K391" s="4">
        <f t="shared" si="24"/>
        <v>2</v>
      </c>
      <c r="L391" s="4">
        <f t="shared" si="25"/>
        <v>3</v>
      </c>
      <c r="M391" s="4">
        <v>7.575854592153215</v>
      </c>
      <c r="N391" s="4">
        <v>69.536104341177193</v>
      </c>
      <c r="O391" s="4">
        <v>236.5485162042186</v>
      </c>
      <c r="X391" s="22">
        <f t="shared" si="26"/>
        <v>199.32109538140566</v>
      </c>
      <c r="Y391" s="2">
        <f t="shared" si="27"/>
        <v>1385.8808611188069</v>
      </c>
    </row>
    <row r="392" spans="1:25">
      <c r="A392" s="2" t="s">
        <v>8</v>
      </c>
      <c r="B392" s="2" t="s">
        <v>13</v>
      </c>
      <c r="C392" s="2">
        <v>5.1868505105534632</v>
      </c>
      <c r="D392" s="2">
        <v>159.89716963744141</v>
      </c>
      <c r="E392" s="2">
        <v>363.72039795157792</v>
      </c>
      <c r="J392" s="4">
        <v>1</v>
      </c>
      <c r="K392" s="4">
        <f t="shared" si="24"/>
        <v>4</v>
      </c>
      <c r="L392" s="4">
        <f t="shared" si="25"/>
        <v>2</v>
      </c>
      <c r="M392" s="4">
        <v>5.1868505105534632</v>
      </c>
      <c r="N392" s="4">
        <v>159.89716963744141</v>
      </c>
      <c r="O392" s="4">
        <v>363.72039795157792</v>
      </c>
      <c r="X392" s="22">
        <f t="shared" si="26"/>
        <v>302.91336041028774</v>
      </c>
      <c r="Y392" s="2">
        <f t="shared" si="27"/>
        <v>3697.495814547874</v>
      </c>
    </row>
    <row r="393" spans="1:25">
      <c r="A393" s="2" t="s">
        <v>10</v>
      </c>
      <c r="B393" s="2" t="s">
        <v>13</v>
      </c>
      <c r="C393" s="2">
        <v>1.5412810834070669</v>
      </c>
      <c r="D393" s="2">
        <v>179.4557075140396</v>
      </c>
      <c r="E393" s="2">
        <v>274.20001070234559</v>
      </c>
      <c r="J393" s="4">
        <v>1</v>
      </c>
      <c r="K393" s="4">
        <f t="shared" si="24"/>
        <v>6</v>
      </c>
      <c r="L393" s="4">
        <f t="shared" si="25"/>
        <v>2</v>
      </c>
      <c r="M393" s="4">
        <v>1.5412810834070669</v>
      </c>
      <c r="N393" s="4">
        <v>179.4557075140396</v>
      </c>
      <c r="O393" s="4">
        <v>274.20001070234559</v>
      </c>
      <c r="X393" s="22">
        <f t="shared" si="26"/>
        <v>285.67373271076235</v>
      </c>
      <c r="Y393" s="2">
        <f t="shared" si="27"/>
        <v>131.64629672642707</v>
      </c>
    </row>
    <row r="394" spans="1:25">
      <c r="A394" s="2" t="s">
        <v>8</v>
      </c>
      <c r="B394" s="2" t="s">
        <v>16</v>
      </c>
      <c r="C394" s="2">
        <v>6.0606713429011876</v>
      </c>
      <c r="D394" s="2">
        <v>92.425309719540607</v>
      </c>
      <c r="E394" s="2">
        <v>165.54517489118251</v>
      </c>
      <c r="J394" s="4">
        <v>1</v>
      </c>
      <c r="K394" s="4">
        <f t="shared" si="24"/>
        <v>4</v>
      </c>
      <c r="L394" s="4">
        <f t="shared" si="25"/>
        <v>5</v>
      </c>
      <c r="M394" s="4">
        <v>6.0606713429011876</v>
      </c>
      <c r="N394" s="4">
        <v>92.425309719540607</v>
      </c>
      <c r="O394" s="4">
        <v>165.54517489118251</v>
      </c>
      <c r="X394" s="22">
        <f t="shared" si="26"/>
        <v>212.98684772540443</v>
      </c>
      <c r="Y394" s="2">
        <f t="shared" si="27"/>
        <v>2250.71232130935</v>
      </c>
    </row>
    <row r="395" spans="1:25">
      <c r="A395" s="2" t="s">
        <v>8</v>
      </c>
      <c r="B395" s="2" t="s">
        <v>13</v>
      </c>
      <c r="C395" s="2">
        <v>9.6186275605484219</v>
      </c>
      <c r="D395" s="2">
        <v>182.8891973323345</v>
      </c>
      <c r="E395" s="2">
        <v>475.25150247497311</v>
      </c>
      <c r="J395" s="4">
        <v>1</v>
      </c>
      <c r="K395" s="4">
        <f t="shared" si="24"/>
        <v>4</v>
      </c>
      <c r="L395" s="4">
        <f t="shared" si="25"/>
        <v>2</v>
      </c>
      <c r="M395" s="4">
        <v>9.6186275605484219</v>
      </c>
      <c r="N395" s="4">
        <v>182.8891973323345</v>
      </c>
      <c r="O395" s="4">
        <v>475.25150247497311</v>
      </c>
      <c r="X395" s="22">
        <f t="shared" si="26"/>
        <v>391.65556157519052</v>
      </c>
      <c r="Y395" s="2">
        <f t="shared" si="27"/>
        <v>6988.2813349199441</v>
      </c>
    </row>
    <row r="396" spans="1:25">
      <c r="A396" s="2" t="s">
        <v>9</v>
      </c>
      <c r="B396" s="2" t="s">
        <v>13</v>
      </c>
      <c r="C396" s="2">
        <v>2.5777264812189369</v>
      </c>
      <c r="D396" s="2">
        <v>81.690430253006639</v>
      </c>
      <c r="E396" s="2">
        <v>162.24068826038931</v>
      </c>
      <c r="J396" s="4">
        <v>1</v>
      </c>
      <c r="K396" s="4">
        <f t="shared" si="24"/>
        <v>5</v>
      </c>
      <c r="L396" s="4">
        <f t="shared" si="25"/>
        <v>2</v>
      </c>
      <c r="M396" s="4">
        <v>2.5777264812189369</v>
      </c>
      <c r="N396" s="4">
        <v>81.690430253006639</v>
      </c>
      <c r="O396" s="4">
        <v>162.24068826038931</v>
      </c>
      <c r="X396" s="22">
        <f t="shared" si="26"/>
        <v>153.85507702969591</v>
      </c>
      <c r="Y396" s="2">
        <f t="shared" si="27"/>
        <v>70.318475712331264</v>
      </c>
    </row>
    <row r="397" spans="1:25">
      <c r="A397" s="2" t="s">
        <v>7</v>
      </c>
      <c r="B397" s="2" t="s">
        <v>17</v>
      </c>
      <c r="C397" s="2">
        <v>7.2100440173859912</v>
      </c>
      <c r="D397" s="2">
        <v>193.17489913312059</v>
      </c>
      <c r="E397" s="2">
        <v>383.09381749554183</v>
      </c>
      <c r="J397" s="4">
        <v>1</v>
      </c>
      <c r="K397" s="4">
        <f t="shared" si="24"/>
        <v>2</v>
      </c>
      <c r="L397" s="4">
        <f t="shared" si="25"/>
        <v>6</v>
      </c>
      <c r="M397" s="4">
        <v>7.2100440173859912</v>
      </c>
      <c r="N397" s="4">
        <v>193.17489913312059</v>
      </c>
      <c r="O397" s="4">
        <v>383.09381749554183</v>
      </c>
      <c r="X397" s="22">
        <f t="shared" si="26"/>
        <v>378.13749162258716</v>
      </c>
      <c r="Y397" s="2">
        <f t="shared" si="27"/>
        <v>24.565166158919819</v>
      </c>
    </row>
    <row r="398" spans="1:25">
      <c r="A398" s="2" t="s">
        <v>10</v>
      </c>
      <c r="B398" s="2" t="s">
        <v>14</v>
      </c>
      <c r="C398" s="2">
        <v>2.8084031979315078</v>
      </c>
      <c r="D398" s="2">
        <v>26.965009659858861</v>
      </c>
      <c r="E398" s="2">
        <v>72.379060925045223</v>
      </c>
      <c r="J398" s="4">
        <v>1</v>
      </c>
      <c r="K398" s="4">
        <f t="shared" si="24"/>
        <v>6</v>
      </c>
      <c r="L398" s="4">
        <f t="shared" si="25"/>
        <v>3</v>
      </c>
      <c r="M398" s="4">
        <v>2.8084031979315078</v>
      </c>
      <c r="N398" s="4">
        <v>26.965009659858861</v>
      </c>
      <c r="O398" s="4">
        <v>72.379060925045223</v>
      </c>
      <c r="X398" s="22">
        <f t="shared" si="26"/>
        <v>74.522975902567339</v>
      </c>
      <c r="Y398" s="2">
        <f t="shared" si="27"/>
        <v>4.5963714308436527</v>
      </c>
    </row>
    <row r="399" spans="1:25">
      <c r="A399" s="2" t="s">
        <v>11</v>
      </c>
      <c r="B399" s="2" t="s">
        <v>16</v>
      </c>
      <c r="C399" s="2">
        <v>5.8224491602577313</v>
      </c>
      <c r="D399" s="2">
        <v>140.53366063561609</v>
      </c>
      <c r="E399" s="2">
        <v>303.9776210012044</v>
      </c>
      <c r="J399" s="4">
        <v>1</v>
      </c>
      <c r="K399" s="4">
        <f t="shared" si="24"/>
        <v>7</v>
      </c>
      <c r="L399" s="4">
        <f t="shared" si="25"/>
        <v>5</v>
      </c>
      <c r="M399" s="4">
        <v>5.8224491602577313</v>
      </c>
      <c r="N399" s="4">
        <v>140.53366063561609</v>
      </c>
      <c r="O399" s="4">
        <v>303.9776210012044</v>
      </c>
      <c r="X399" s="22">
        <f t="shared" si="26"/>
        <v>279.42722212399121</v>
      </c>
      <c r="Y399" s="2">
        <f t="shared" si="27"/>
        <v>602.72208503027036</v>
      </c>
    </row>
    <row r="400" spans="1:25">
      <c r="A400" s="2" t="s">
        <v>6</v>
      </c>
      <c r="B400" s="2" t="s">
        <v>17</v>
      </c>
      <c r="C400" s="2">
        <v>1.870088046820477</v>
      </c>
      <c r="D400" s="2">
        <v>103.8246676868165</v>
      </c>
      <c r="E400" s="2">
        <v>209.37102890964351</v>
      </c>
      <c r="J400" s="4">
        <v>1</v>
      </c>
      <c r="K400" s="4">
        <f t="shared" si="24"/>
        <v>3</v>
      </c>
      <c r="L400" s="4">
        <f t="shared" si="25"/>
        <v>6</v>
      </c>
      <c r="M400" s="4">
        <v>1.870088046820477</v>
      </c>
      <c r="N400" s="4">
        <v>103.8246676868165</v>
      </c>
      <c r="O400" s="4">
        <v>209.37102890964351</v>
      </c>
      <c r="X400" s="22">
        <f t="shared" si="26"/>
        <v>178.89085458883093</v>
      </c>
      <c r="Y400" s="2">
        <f t="shared" si="27"/>
        <v>929.04102662712262</v>
      </c>
    </row>
    <row r="401" spans="1:25">
      <c r="A401" s="2" t="s">
        <v>5</v>
      </c>
      <c r="B401" s="2" t="s">
        <v>15</v>
      </c>
      <c r="C401" s="2">
        <v>5.0533384263236663</v>
      </c>
      <c r="D401" s="2">
        <v>83.653273036572941</v>
      </c>
      <c r="E401" s="2">
        <v>194.01984779147489</v>
      </c>
      <c r="J401" s="4">
        <v>1</v>
      </c>
      <c r="K401" s="4">
        <f t="shared" si="24"/>
        <v>1</v>
      </c>
      <c r="L401" s="4">
        <f t="shared" si="25"/>
        <v>4</v>
      </c>
      <c r="M401" s="4">
        <v>5.0533384263236663</v>
      </c>
      <c r="N401" s="4">
        <v>83.653273036572941</v>
      </c>
      <c r="O401" s="4">
        <v>194.01984779147489</v>
      </c>
      <c r="X401" s="22">
        <f t="shared" si="26"/>
        <v>189.8049853089089</v>
      </c>
      <c r="Y401" s="2">
        <f t="shared" si="27"/>
        <v>17.765065746942348</v>
      </c>
    </row>
    <row r="402" spans="1:25">
      <c r="A402" s="2" t="s">
        <v>11</v>
      </c>
      <c r="B402" s="2" t="s">
        <v>14</v>
      </c>
      <c r="C402" s="2">
        <v>7.8054699600572146</v>
      </c>
      <c r="D402" s="2">
        <v>130.21525696223421</v>
      </c>
      <c r="E402" s="2">
        <v>269.32953031708888</v>
      </c>
      <c r="J402" s="4">
        <v>1</v>
      </c>
      <c r="K402" s="4">
        <f t="shared" si="24"/>
        <v>7</v>
      </c>
      <c r="L402" s="4">
        <f t="shared" si="25"/>
        <v>3</v>
      </c>
      <c r="M402" s="4">
        <v>7.8054699600572146</v>
      </c>
      <c r="N402" s="4">
        <v>130.21525696223421</v>
      </c>
      <c r="O402" s="4">
        <v>269.32953031708888</v>
      </c>
      <c r="X402" s="22">
        <f t="shared" si="26"/>
        <v>288.7908724766429</v>
      </c>
      <c r="Y402" s="2">
        <f t="shared" si="27"/>
        <v>378.7438386512348</v>
      </c>
    </row>
    <row r="403" spans="1:25">
      <c r="A403" s="2" t="s">
        <v>7</v>
      </c>
      <c r="B403" s="2" t="s">
        <v>14</v>
      </c>
      <c r="C403" s="2">
        <v>4.1281437181508389</v>
      </c>
      <c r="D403" s="2">
        <v>143.73284741052291</v>
      </c>
      <c r="E403" s="2">
        <v>226.82736548004229</v>
      </c>
      <c r="J403" s="4">
        <v>1</v>
      </c>
      <c r="K403" s="4">
        <f t="shared" si="24"/>
        <v>2</v>
      </c>
      <c r="L403" s="4">
        <f t="shared" si="25"/>
        <v>3</v>
      </c>
      <c r="M403" s="4">
        <v>4.1281437181508389</v>
      </c>
      <c r="N403" s="4">
        <v>143.73284741052291</v>
      </c>
      <c r="O403" s="4">
        <v>226.82736548004229</v>
      </c>
      <c r="X403" s="22">
        <f t="shared" si="26"/>
        <v>267.12837003737013</v>
      </c>
      <c r="Y403" s="2">
        <f t="shared" si="27"/>
        <v>1624.1709683297595</v>
      </c>
    </row>
    <row r="404" spans="1:25">
      <c r="A404" s="2" t="s">
        <v>6</v>
      </c>
      <c r="B404" s="2" t="s">
        <v>15</v>
      </c>
      <c r="C404" s="2">
        <v>6.984205520384962</v>
      </c>
      <c r="D404" s="2">
        <v>10.829021233558731</v>
      </c>
      <c r="E404" s="2">
        <v>135.8249546124417</v>
      </c>
      <c r="J404" s="4">
        <v>1</v>
      </c>
      <c r="K404" s="4">
        <f t="shared" si="24"/>
        <v>3</v>
      </c>
      <c r="L404" s="4">
        <f t="shared" si="25"/>
        <v>4</v>
      </c>
      <c r="M404" s="4">
        <v>6.984205520384962</v>
      </c>
      <c r="N404" s="4">
        <v>10.829021233558731</v>
      </c>
      <c r="O404" s="4">
        <v>135.8249546124417</v>
      </c>
      <c r="X404" s="22">
        <f t="shared" si="26"/>
        <v>103.94556654342178</v>
      </c>
      <c r="Y404" s="2">
        <f t="shared" si="27"/>
        <v>1016.2953836551699</v>
      </c>
    </row>
    <row r="405" spans="1:25">
      <c r="A405" s="2" t="s">
        <v>7</v>
      </c>
      <c r="B405" s="2" t="s">
        <v>13</v>
      </c>
      <c r="C405" s="2">
        <v>8.1590496471075618</v>
      </c>
      <c r="D405" s="2">
        <v>41.721086861967763</v>
      </c>
      <c r="E405" s="2">
        <v>220.31304740761661</v>
      </c>
      <c r="J405" s="4">
        <v>1</v>
      </c>
      <c r="K405" s="4">
        <f t="shared" si="24"/>
        <v>2</v>
      </c>
      <c r="L405" s="4">
        <f t="shared" si="25"/>
        <v>2</v>
      </c>
      <c r="M405" s="4">
        <v>8.1590496471075618</v>
      </c>
      <c r="N405" s="4">
        <v>41.721086861967763</v>
      </c>
      <c r="O405" s="4">
        <v>220.31304740761661</v>
      </c>
      <c r="X405" s="22">
        <f t="shared" si="26"/>
        <v>165.3062037822163</v>
      </c>
      <c r="Y405" s="2">
        <f t="shared" si="27"/>
        <v>3025.7528456292425</v>
      </c>
    </row>
    <row r="406" spans="1:25">
      <c r="A406" s="2" t="s">
        <v>8</v>
      </c>
      <c r="B406" s="2" t="s">
        <v>17</v>
      </c>
      <c r="C406" s="2">
        <v>9.3446003753150748</v>
      </c>
      <c r="D406" s="2">
        <v>145.47874962052049</v>
      </c>
      <c r="E406" s="2">
        <v>235.06372928110571</v>
      </c>
      <c r="J406" s="4">
        <v>1</v>
      </c>
      <c r="K406" s="4">
        <f t="shared" si="24"/>
        <v>4</v>
      </c>
      <c r="L406" s="4">
        <f t="shared" si="25"/>
        <v>6</v>
      </c>
      <c r="M406" s="4">
        <v>9.3446003753150748</v>
      </c>
      <c r="N406" s="4">
        <v>145.47874962052049</v>
      </c>
      <c r="O406" s="4">
        <v>235.06372928110571</v>
      </c>
      <c r="X406" s="22">
        <f t="shared" si="26"/>
        <v>332.12902197100487</v>
      </c>
      <c r="Y406" s="2">
        <f t="shared" si="27"/>
        <v>9421.671044975792</v>
      </c>
    </row>
    <row r="407" spans="1:25">
      <c r="A407" s="2" t="s">
        <v>6</v>
      </c>
      <c r="B407" s="2" t="s">
        <v>12</v>
      </c>
      <c r="C407" s="2">
        <v>3.1117787366990819</v>
      </c>
      <c r="D407" s="2">
        <v>136.6132285798592</v>
      </c>
      <c r="E407" s="2">
        <v>246.5727001468349</v>
      </c>
      <c r="J407" s="4">
        <v>1</v>
      </c>
      <c r="K407" s="4">
        <f t="shared" si="24"/>
        <v>3</v>
      </c>
      <c r="L407" s="4">
        <f t="shared" si="25"/>
        <v>1</v>
      </c>
      <c r="M407" s="4">
        <v>3.1117787366990819</v>
      </c>
      <c r="N407" s="4">
        <v>136.6132285798592</v>
      </c>
      <c r="O407" s="4">
        <v>246.5727001468349</v>
      </c>
      <c r="X407" s="22">
        <f t="shared" si="26"/>
        <v>243.60406271818056</v>
      </c>
      <c r="Y407" s="2">
        <f t="shared" si="27"/>
        <v>8.8128081828074922</v>
      </c>
    </row>
    <row r="408" spans="1:25">
      <c r="A408" s="2" t="s">
        <v>8</v>
      </c>
      <c r="B408" s="2" t="s">
        <v>16</v>
      </c>
      <c r="C408" s="2">
        <v>4.5938432422837732</v>
      </c>
      <c r="D408" s="2">
        <v>193.54902597444871</v>
      </c>
      <c r="E408" s="2">
        <v>365.47849757773292</v>
      </c>
      <c r="J408" s="4">
        <v>1</v>
      </c>
      <c r="K408" s="4">
        <f t="shared" si="24"/>
        <v>4</v>
      </c>
      <c r="L408" s="4">
        <f t="shared" si="25"/>
        <v>5</v>
      </c>
      <c r="M408" s="4">
        <v>4.5938432422837732</v>
      </c>
      <c r="N408" s="4">
        <v>193.54902597444871</v>
      </c>
      <c r="O408" s="4">
        <v>365.47849757773292</v>
      </c>
      <c r="X408" s="22">
        <f t="shared" si="26"/>
        <v>345.20313300177264</v>
      </c>
      <c r="Y408" s="2">
        <f t="shared" si="27"/>
        <v>411.09040868810507</v>
      </c>
    </row>
    <row r="409" spans="1:25">
      <c r="A409" s="2" t="s">
        <v>11</v>
      </c>
      <c r="B409" s="2" t="s">
        <v>12</v>
      </c>
      <c r="C409" s="2">
        <v>2.3717441199737568</v>
      </c>
      <c r="D409" s="2">
        <v>154.5971801476488</v>
      </c>
      <c r="E409" s="2">
        <v>235.34517625425451</v>
      </c>
      <c r="J409" s="4">
        <v>1</v>
      </c>
      <c r="K409" s="4">
        <f t="shared" si="24"/>
        <v>7</v>
      </c>
      <c r="L409" s="4">
        <f t="shared" si="25"/>
        <v>1</v>
      </c>
      <c r="M409" s="4">
        <v>2.3717441199737568</v>
      </c>
      <c r="N409" s="4">
        <v>154.5971801476488</v>
      </c>
      <c r="O409" s="4">
        <v>235.34517625425451</v>
      </c>
      <c r="X409" s="22">
        <f t="shared" si="26"/>
        <v>258.39086001673627</v>
      </c>
      <c r="Y409" s="2">
        <f t="shared" si="27"/>
        <v>531.10354008031538</v>
      </c>
    </row>
    <row r="410" spans="1:25">
      <c r="A410" s="2" t="s">
        <v>11</v>
      </c>
      <c r="B410" s="2" t="s">
        <v>15</v>
      </c>
      <c r="C410" s="2">
        <v>9.9323515194253762</v>
      </c>
      <c r="D410" s="2">
        <v>190.6468144689542</v>
      </c>
      <c r="E410" s="2">
        <v>416.05409132285303</v>
      </c>
      <c r="J410" s="4">
        <v>1</v>
      </c>
      <c r="K410" s="4">
        <f t="shared" si="24"/>
        <v>7</v>
      </c>
      <c r="L410" s="4">
        <f t="shared" si="25"/>
        <v>4</v>
      </c>
      <c r="M410" s="4">
        <v>9.9323515194253762</v>
      </c>
      <c r="N410" s="4">
        <v>190.6468144689542</v>
      </c>
      <c r="O410" s="4">
        <v>416.05409132285303</v>
      </c>
      <c r="X410" s="22">
        <f t="shared" si="26"/>
        <v>404.64945694954713</v>
      </c>
      <c r="Y410" s="2">
        <f t="shared" si="27"/>
        <v>130.06568518879038</v>
      </c>
    </row>
    <row r="411" spans="1:25">
      <c r="A411" s="2" t="s">
        <v>6</v>
      </c>
      <c r="B411" s="2" t="s">
        <v>14</v>
      </c>
      <c r="C411" s="2">
        <v>9.3430087113186584</v>
      </c>
      <c r="D411" s="2">
        <v>143.48269529161331</v>
      </c>
      <c r="E411" s="2">
        <v>351.87357349792347</v>
      </c>
      <c r="J411" s="4">
        <v>1</v>
      </c>
      <c r="K411" s="4">
        <f t="shared" si="24"/>
        <v>3</v>
      </c>
      <c r="L411" s="4">
        <f t="shared" si="25"/>
        <v>3</v>
      </c>
      <c r="M411" s="4">
        <v>9.3430087113186584</v>
      </c>
      <c r="N411" s="4">
        <v>143.48269529161331</v>
      </c>
      <c r="O411" s="4">
        <v>351.87357349792347</v>
      </c>
      <c r="X411" s="22">
        <f t="shared" si="26"/>
        <v>330.2671674139516</v>
      </c>
      <c r="Y411" s="2">
        <f t="shared" si="27"/>
        <v>466.8367838654969</v>
      </c>
    </row>
    <row r="412" spans="1:25">
      <c r="A412" s="2" t="s">
        <v>6</v>
      </c>
      <c r="B412" s="2" t="s">
        <v>14</v>
      </c>
      <c r="C412" s="2">
        <v>5.8596141725250366</v>
      </c>
      <c r="D412" s="2">
        <v>66.629919641494197</v>
      </c>
      <c r="E412" s="2">
        <v>200.75334401152</v>
      </c>
      <c r="J412" s="4">
        <v>1</v>
      </c>
      <c r="K412" s="4">
        <f t="shared" si="24"/>
        <v>3</v>
      </c>
      <c r="L412" s="4">
        <f t="shared" si="25"/>
        <v>3</v>
      </c>
      <c r="M412" s="4">
        <v>5.8596141725250366</v>
      </c>
      <c r="N412" s="4">
        <v>66.629919641494197</v>
      </c>
      <c r="O412" s="4">
        <v>200.75334401152</v>
      </c>
      <c r="X412" s="22">
        <f t="shared" si="26"/>
        <v>173.16154135477552</v>
      </c>
      <c r="Y412" s="2">
        <f t="shared" si="27"/>
        <v>761.30757384873152</v>
      </c>
    </row>
    <row r="413" spans="1:25">
      <c r="A413" s="2" t="s">
        <v>10</v>
      </c>
      <c r="B413" s="2" t="s">
        <v>16</v>
      </c>
      <c r="C413" s="2">
        <v>8.578299649387791</v>
      </c>
      <c r="D413" s="2">
        <v>30.019335227662729</v>
      </c>
      <c r="E413" s="2">
        <v>126.67807465802311</v>
      </c>
      <c r="J413" s="4">
        <v>1</v>
      </c>
      <c r="K413" s="4">
        <f t="shared" si="24"/>
        <v>6</v>
      </c>
      <c r="L413" s="4">
        <f t="shared" si="25"/>
        <v>5</v>
      </c>
      <c r="M413" s="4">
        <v>8.578299649387791</v>
      </c>
      <c r="N413" s="4">
        <v>30.019335227662729</v>
      </c>
      <c r="O413" s="4">
        <v>126.67807465802311</v>
      </c>
      <c r="X413" s="22">
        <f t="shared" si="26"/>
        <v>149.83546160333415</v>
      </c>
      <c r="Y413" s="2">
        <f t="shared" si="27"/>
        <v>536.26457013486242</v>
      </c>
    </row>
    <row r="414" spans="1:25">
      <c r="A414" s="2" t="s">
        <v>7</v>
      </c>
      <c r="B414" s="2" t="s">
        <v>14</v>
      </c>
      <c r="C414" s="2">
        <v>5.6886217954483804</v>
      </c>
      <c r="D414" s="2">
        <v>158.5465340355378</v>
      </c>
      <c r="E414" s="2">
        <v>344.99593587175377</v>
      </c>
      <c r="J414" s="4">
        <v>1</v>
      </c>
      <c r="K414" s="4">
        <f t="shared" si="24"/>
        <v>2</v>
      </c>
      <c r="L414" s="4">
        <f t="shared" si="25"/>
        <v>3</v>
      </c>
      <c r="M414" s="4">
        <v>5.6886217954483804</v>
      </c>
      <c r="N414" s="4">
        <v>158.5465340355378</v>
      </c>
      <c r="O414" s="4">
        <v>344.99593587175377</v>
      </c>
      <c r="X414" s="22">
        <f t="shared" si="26"/>
        <v>308.35896109933338</v>
      </c>
      <c r="Y414" s="2">
        <f t="shared" si="27"/>
        <v>1342.2679204749679</v>
      </c>
    </row>
    <row r="415" spans="1:25">
      <c r="A415" s="2" t="s">
        <v>10</v>
      </c>
      <c r="B415" s="2" t="s">
        <v>14</v>
      </c>
      <c r="C415" s="2">
        <v>6.6122711920248376</v>
      </c>
      <c r="D415" s="2">
        <v>132.388352080424</v>
      </c>
      <c r="E415" s="2">
        <v>240.75355805693499</v>
      </c>
      <c r="J415" s="4">
        <v>1</v>
      </c>
      <c r="K415" s="4">
        <f t="shared" si="24"/>
        <v>6</v>
      </c>
      <c r="L415" s="4">
        <f t="shared" si="25"/>
        <v>3</v>
      </c>
      <c r="M415" s="4">
        <v>6.6122711920248376</v>
      </c>
      <c r="N415" s="4">
        <v>132.388352080424</v>
      </c>
      <c r="O415" s="4">
        <v>240.75355805693499</v>
      </c>
      <c r="X415" s="22">
        <f t="shared" si="26"/>
        <v>278.03347772416805</v>
      </c>
      <c r="Y415" s="2">
        <f t="shared" si="27"/>
        <v>1389.7924103953503</v>
      </c>
    </row>
    <row r="416" spans="1:25">
      <c r="A416" s="2" t="s">
        <v>7</v>
      </c>
      <c r="B416" s="2" t="s">
        <v>16</v>
      </c>
      <c r="C416" s="2">
        <v>1.8021198890441501</v>
      </c>
      <c r="D416" s="2">
        <v>19.15534235472628</v>
      </c>
      <c r="E416" s="2">
        <v>57.419635190189382</v>
      </c>
      <c r="J416" s="4">
        <v>1</v>
      </c>
      <c r="K416" s="4">
        <f t="shared" si="24"/>
        <v>2</v>
      </c>
      <c r="L416" s="4">
        <f t="shared" si="25"/>
        <v>5</v>
      </c>
      <c r="M416" s="4">
        <v>1.8021198890441501</v>
      </c>
      <c r="N416" s="4">
        <v>19.15534235472628</v>
      </c>
      <c r="O416" s="4">
        <v>57.419635190189382</v>
      </c>
      <c r="X416" s="22">
        <f t="shared" si="26"/>
        <v>53.073167739652817</v>
      </c>
      <c r="Y416" s="2">
        <f t="shared" si="27"/>
        <v>18.891779298573827</v>
      </c>
    </row>
    <row r="417" spans="1:25">
      <c r="A417" s="2" t="s">
        <v>10</v>
      </c>
      <c r="B417" s="2" t="s">
        <v>17</v>
      </c>
      <c r="C417" s="2">
        <v>7.7974337844712718</v>
      </c>
      <c r="D417" s="2">
        <v>78.409588521185881</v>
      </c>
      <c r="E417" s="2">
        <v>229.45842354420091</v>
      </c>
      <c r="J417" s="4">
        <v>1</v>
      </c>
      <c r="K417" s="4">
        <f t="shared" si="24"/>
        <v>6</v>
      </c>
      <c r="L417" s="4">
        <f t="shared" si="25"/>
        <v>6</v>
      </c>
      <c r="M417" s="4">
        <v>7.7974337844712718</v>
      </c>
      <c r="N417" s="4">
        <v>78.409588521185881</v>
      </c>
      <c r="O417" s="4">
        <v>229.45842354420091</v>
      </c>
      <c r="X417" s="22">
        <f t="shared" si="26"/>
        <v>211.99288258613211</v>
      </c>
      <c r="Y417" s="2">
        <f t="shared" si="27"/>
        <v>305.04512095797884</v>
      </c>
    </row>
    <row r="418" spans="1:25">
      <c r="A418" s="2" t="s">
        <v>8</v>
      </c>
      <c r="B418" s="2" t="s">
        <v>17</v>
      </c>
      <c r="C418" s="2">
        <v>2.149421352717114</v>
      </c>
      <c r="D418" s="2">
        <v>191.7919649420144</v>
      </c>
      <c r="E418" s="2">
        <v>326.02802545705561</v>
      </c>
      <c r="J418" s="4">
        <v>1</v>
      </c>
      <c r="K418" s="4">
        <f t="shared" si="24"/>
        <v>4</v>
      </c>
      <c r="L418" s="4">
        <f t="shared" si="25"/>
        <v>6</v>
      </c>
      <c r="M418" s="4">
        <v>2.149421352717114</v>
      </c>
      <c r="N418" s="4">
        <v>191.7919649420144</v>
      </c>
      <c r="O418" s="4">
        <v>326.02802545705561</v>
      </c>
      <c r="X418" s="22">
        <f t="shared" si="26"/>
        <v>312.35161510799179</v>
      </c>
      <c r="Y418" s="2">
        <f t="shared" si="27"/>
        <v>187.04420003597983</v>
      </c>
    </row>
    <row r="419" spans="1:25">
      <c r="A419" s="2" t="s">
        <v>6</v>
      </c>
      <c r="B419" s="2" t="s">
        <v>16</v>
      </c>
      <c r="C419" s="2">
        <v>8.4346086722727556</v>
      </c>
      <c r="D419" s="2">
        <v>105.0762176849382</v>
      </c>
      <c r="E419" s="2">
        <v>217.70611504733529</v>
      </c>
      <c r="J419" s="4">
        <v>1</v>
      </c>
      <c r="K419" s="4">
        <f t="shared" si="24"/>
        <v>3</v>
      </c>
      <c r="L419" s="4">
        <f t="shared" si="25"/>
        <v>5</v>
      </c>
      <c r="M419" s="4">
        <v>8.4346086722727556</v>
      </c>
      <c r="N419" s="4">
        <v>105.0762176849382</v>
      </c>
      <c r="O419" s="4">
        <v>217.70611504733529</v>
      </c>
      <c r="X419" s="22">
        <f t="shared" si="26"/>
        <v>261.72698976593028</v>
      </c>
      <c r="Y419" s="2">
        <f t="shared" si="27"/>
        <v>1937.8374109902361</v>
      </c>
    </row>
    <row r="420" spans="1:25">
      <c r="A420" s="2" t="s">
        <v>11</v>
      </c>
      <c r="B420" s="2" t="s">
        <v>15</v>
      </c>
      <c r="C420" s="2">
        <v>8.0382527890334732</v>
      </c>
      <c r="D420" s="2">
        <v>92.218535843743879</v>
      </c>
      <c r="E420" s="2">
        <v>297.87655104963011</v>
      </c>
      <c r="J420" s="4">
        <v>1</v>
      </c>
      <c r="K420" s="4">
        <f t="shared" si="24"/>
        <v>7</v>
      </c>
      <c r="L420" s="4">
        <f t="shared" si="25"/>
        <v>4</v>
      </c>
      <c r="M420" s="4">
        <v>8.0382527890334732</v>
      </c>
      <c r="N420" s="4">
        <v>92.218535843743879</v>
      </c>
      <c r="O420" s="4">
        <v>297.87655104963011</v>
      </c>
      <c r="X420" s="22">
        <f t="shared" si="26"/>
        <v>235.05160605937184</v>
      </c>
      <c r="Y420" s="2">
        <f t="shared" si="27"/>
        <v>3946.9737130289782</v>
      </c>
    </row>
    <row r="421" spans="1:25">
      <c r="A421" s="2" t="s">
        <v>7</v>
      </c>
      <c r="B421" s="2" t="s">
        <v>14</v>
      </c>
      <c r="C421" s="2">
        <v>7.378702279686788</v>
      </c>
      <c r="D421" s="2">
        <v>96.962924980265853</v>
      </c>
      <c r="E421" s="2">
        <v>244.58892465795111</v>
      </c>
      <c r="J421" s="4">
        <v>1</v>
      </c>
      <c r="K421" s="4">
        <f t="shared" si="24"/>
        <v>2</v>
      </c>
      <c r="L421" s="4">
        <f t="shared" si="25"/>
        <v>3</v>
      </c>
      <c r="M421" s="4">
        <v>7.378702279686788</v>
      </c>
      <c r="N421" s="4">
        <v>96.962924980265853</v>
      </c>
      <c r="O421" s="4">
        <v>244.58892465795111</v>
      </c>
      <c r="X421" s="22">
        <f t="shared" si="26"/>
        <v>237.65209516805174</v>
      </c>
      <c r="Y421" s="2">
        <f t="shared" si="27"/>
        <v>48.119603371937508</v>
      </c>
    </row>
    <row r="422" spans="1:25">
      <c r="A422" s="2" t="s">
        <v>7</v>
      </c>
      <c r="B422" s="2" t="s">
        <v>14</v>
      </c>
      <c r="C422" s="2">
        <v>1.325443424722859</v>
      </c>
      <c r="D422" s="2">
        <v>49.687717560981113</v>
      </c>
      <c r="E422" s="2">
        <v>75.996898331599681</v>
      </c>
      <c r="J422" s="4">
        <v>1</v>
      </c>
      <c r="K422" s="4">
        <f t="shared" si="24"/>
        <v>2</v>
      </c>
      <c r="L422" s="4">
        <f t="shared" si="25"/>
        <v>3</v>
      </c>
      <c r="M422" s="4">
        <v>1.325443424722859</v>
      </c>
      <c r="N422" s="4">
        <v>49.687717560981113</v>
      </c>
      <c r="O422" s="4">
        <v>75.996898331599681</v>
      </c>
      <c r="X422" s="22">
        <f t="shared" si="26"/>
        <v>92.8555507739311</v>
      </c>
      <c r="Y422" s="2">
        <f t="shared" si="27"/>
        <v>284.21416217132713</v>
      </c>
    </row>
    <row r="423" spans="1:25">
      <c r="A423" s="2" t="s">
        <v>11</v>
      </c>
      <c r="B423" s="2" t="s">
        <v>15</v>
      </c>
      <c r="C423" s="2">
        <v>3.7281552035079568</v>
      </c>
      <c r="D423" s="2">
        <v>80.054362464311083</v>
      </c>
      <c r="E423" s="2">
        <v>176.72184445814531</v>
      </c>
      <c r="J423" s="4">
        <v>1</v>
      </c>
      <c r="K423" s="4">
        <f t="shared" si="24"/>
        <v>7</v>
      </c>
      <c r="L423" s="4">
        <f t="shared" si="25"/>
        <v>4</v>
      </c>
      <c r="M423" s="4">
        <v>3.7281552035079568</v>
      </c>
      <c r="N423" s="4">
        <v>80.054362464311083</v>
      </c>
      <c r="O423" s="4">
        <v>176.72184445814531</v>
      </c>
      <c r="X423" s="22">
        <f t="shared" si="26"/>
        <v>163.89898194143416</v>
      </c>
      <c r="Y423" s="2">
        <f t="shared" si="27"/>
        <v>164.42580312247591</v>
      </c>
    </row>
    <row r="424" spans="1:25">
      <c r="A424" s="2" t="s">
        <v>10</v>
      </c>
      <c r="B424" s="2" t="s">
        <v>17</v>
      </c>
      <c r="C424" s="2">
        <v>3.3680131291975859</v>
      </c>
      <c r="D424" s="2">
        <v>80.264518637563555</v>
      </c>
      <c r="E424" s="2">
        <v>173.98328109296151</v>
      </c>
      <c r="J424" s="4">
        <v>1</v>
      </c>
      <c r="K424" s="4">
        <f t="shared" si="24"/>
        <v>6</v>
      </c>
      <c r="L424" s="4">
        <f t="shared" si="25"/>
        <v>6</v>
      </c>
      <c r="M424" s="4">
        <v>3.3680131291975859</v>
      </c>
      <c r="N424" s="4">
        <v>80.264518637563555</v>
      </c>
      <c r="O424" s="4">
        <v>173.98328109296151</v>
      </c>
      <c r="X424" s="22">
        <f t="shared" si="26"/>
        <v>160.20456423622912</v>
      </c>
      <c r="Y424" s="2">
        <f t="shared" si="27"/>
        <v>189.85303821800125</v>
      </c>
    </row>
    <row r="425" spans="1:25">
      <c r="A425" s="2" t="s">
        <v>7</v>
      </c>
      <c r="B425" s="2" t="s">
        <v>13</v>
      </c>
      <c r="C425" s="2">
        <v>4.2412276672436722</v>
      </c>
      <c r="D425" s="2">
        <v>19.947453835619751</v>
      </c>
      <c r="E425" s="2">
        <v>108.1967772808398</v>
      </c>
      <c r="J425" s="4">
        <v>1</v>
      </c>
      <c r="K425" s="4">
        <f t="shared" si="24"/>
        <v>2</v>
      </c>
      <c r="L425" s="4">
        <f t="shared" si="25"/>
        <v>2</v>
      </c>
      <c r="M425" s="4">
        <v>4.2412276672436722</v>
      </c>
      <c r="N425" s="4">
        <v>19.947453835619751</v>
      </c>
      <c r="O425" s="4">
        <v>108.1967772808398</v>
      </c>
      <c r="X425" s="22">
        <f t="shared" si="26"/>
        <v>84.703611364590429</v>
      </c>
      <c r="Y425" s="2">
        <f t="shared" si="27"/>
        <v>551.92884476842096</v>
      </c>
    </row>
    <row r="426" spans="1:25">
      <c r="A426" s="2" t="s">
        <v>5</v>
      </c>
      <c r="B426" s="2" t="s">
        <v>13</v>
      </c>
      <c r="C426" s="2">
        <v>1.7887847208745471</v>
      </c>
      <c r="D426" s="2">
        <v>155.83784941840449</v>
      </c>
      <c r="E426" s="2">
        <v>196.91841221631671</v>
      </c>
      <c r="J426" s="4">
        <v>1</v>
      </c>
      <c r="K426" s="4">
        <f t="shared" si="24"/>
        <v>1</v>
      </c>
      <c r="L426" s="4">
        <f t="shared" si="25"/>
        <v>2</v>
      </c>
      <c r="M426" s="4">
        <v>1.7887847208745471</v>
      </c>
      <c r="N426" s="4">
        <v>155.83784941840449</v>
      </c>
      <c r="O426" s="4">
        <v>196.91841221631671</v>
      </c>
      <c r="X426" s="22">
        <f t="shared" si="26"/>
        <v>257.15580380617769</v>
      </c>
      <c r="Y426" s="2">
        <f t="shared" si="27"/>
        <v>3628.5433455502539</v>
      </c>
    </row>
    <row r="427" spans="1:25">
      <c r="A427" s="2" t="s">
        <v>8</v>
      </c>
      <c r="B427" s="2" t="s">
        <v>13</v>
      </c>
      <c r="C427" s="2">
        <v>9.4326204072795647</v>
      </c>
      <c r="D427" s="2">
        <v>89.135842061737009</v>
      </c>
      <c r="E427" s="2">
        <v>205.1593221905616</v>
      </c>
      <c r="J427" s="4">
        <v>1</v>
      </c>
      <c r="K427" s="4">
        <f t="shared" si="24"/>
        <v>4</v>
      </c>
      <c r="L427" s="4">
        <f t="shared" si="25"/>
        <v>2</v>
      </c>
      <c r="M427" s="4">
        <v>9.4326204072795647</v>
      </c>
      <c r="N427" s="4">
        <v>89.135842061737009</v>
      </c>
      <c r="O427" s="4">
        <v>205.1593221905616</v>
      </c>
      <c r="X427" s="22">
        <f t="shared" si="26"/>
        <v>250.03891353656206</v>
      </c>
      <c r="Y427" s="2">
        <f t="shared" si="27"/>
        <v>2014.1777193840001</v>
      </c>
    </row>
    <row r="428" spans="1:25">
      <c r="A428" s="2" t="s">
        <v>6</v>
      </c>
      <c r="B428" s="2" t="s">
        <v>17</v>
      </c>
      <c r="C428" s="2">
        <v>5.9842201664113874</v>
      </c>
      <c r="D428" s="2">
        <v>166.21417849512039</v>
      </c>
      <c r="E428" s="2">
        <v>322.32971679501031</v>
      </c>
      <c r="J428" s="4">
        <v>1</v>
      </c>
      <c r="K428" s="4">
        <f t="shared" si="24"/>
        <v>3</v>
      </c>
      <c r="L428" s="4">
        <f t="shared" si="25"/>
        <v>6</v>
      </c>
      <c r="M428" s="4">
        <v>5.9842201664113874</v>
      </c>
      <c r="N428" s="4">
        <v>166.21417849512039</v>
      </c>
      <c r="O428" s="4">
        <v>322.32971679501031</v>
      </c>
      <c r="X428" s="22">
        <f t="shared" si="26"/>
        <v>322.26978737316261</v>
      </c>
      <c r="Y428" s="2">
        <f t="shared" si="27"/>
        <v>3.5915356029993964E-3</v>
      </c>
    </row>
    <row r="429" spans="1:25">
      <c r="A429" s="2" t="s">
        <v>11</v>
      </c>
      <c r="B429" s="2" t="s">
        <v>17</v>
      </c>
      <c r="C429" s="2">
        <v>3.7497187959222118</v>
      </c>
      <c r="D429" s="2">
        <v>171.56612021278011</v>
      </c>
      <c r="E429" s="2">
        <v>305.61799605011811</v>
      </c>
      <c r="J429" s="4">
        <v>1</v>
      </c>
      <c r="K429" s="4">
        <f t="shared" si="24"/>
        <v>7</v>
      </c>
      <c r="L429" s="4">
        <f t="shared" si="25"/>
        <v>6</v>
      </c>
      <c r="M429" s="4">
        <v>3.7497187959222118</v>
      </c>
      <c r="N429" s="4">
        <v>171.56612021278011</v>
      </c>
      <c r="O429" s="4">
        <v>305.61799605011811</v>
      </c>
      <c r="X429" s="22">
        <f t="shared" si="26"/>
        <v>299.88104482283109</v>
      </c>
      <c r="Y429" s="2">
        <f t="shared" si="27"/>
        <v>32.91260938427007</v>
      </c>
    </row>
    <row r="430" spans="1:25">
      <c r="A430" s="2" t="s">
        <v>6</v>
      </c>
      <c r="B430" s="2" t="s">
        <v>15</v>
      </c>
      <c r="C430" s="2">
        <v>4.5728336536685514</v>
      </c>
      <c r="D430" s="2">
        <v>50.278870392745027</v>
      </c>
      <c r="E430" s="2">
        <v>119.07598579745989</v>
      </c>
      <c r="J430" s="4">
        <v>1</v>
      </c>
      <c r="K430" s="4">
        <f t="shared" si="24"/>
        <v>3</v>
      </c>
      <c r="L430" s="4">
        <f t="shared" si="25"/>
        <v>4</v>
      </c>
      <c r="M430" s="4">
        <v>4.5728336536685514</v>
      </c>
      <c r="N430" s="4">
        <v>50.278870392745027</v>
      </c>
      <c r="O430" s="4">
        <v>119.07598579745989</v>
      </c>
      <c r="X430" s="22">
        <f t="shared" si="26"/>
        <v>132.87747892535157</v>
      </c>
      <c r="Y430" s="2">
        <f t="shared" si="27"/>
        <v>190.48121255924113</v>
      </c>
    </row>
    <row r="431" spans="1:25">
      <c r="A431" s="2" t="s">
        <v>5</v>
      </c>
      <c r="B431" s="2" t="s">
        <v>14</v>
      </c>
      <c r="C431" s="2">
        <v>5.0248228645435207</v>
      </c>
      <c r="D431" s="2">
        <v>134.8971616123244</v>
      </c>
      <c r="E431" s="2">
        <v>308.13724555849382</v>
      </c>
      <c r="J431" s="4">
        <v>1</v>
      </c>
      <c r="K431" s="4">
        <f t="shared" si="24"/>
        <v>1</v>
      </c>
      <c r="L431" s="4">
        <f t="shared" si="25"/>
        <v>3</v>
      </c>
      <c r="M431" s="4">
        <v>5.0248228645435207</v>
      </c>
      <c r="N431" s="4">
        <v>134.8971616123244</v>
      </c>
      <c r="O431" s="4">
        <v>308.13724555849382</v>
      </c>
      <c r="X431" s="22">
        <f t="shared" si="26"/>
        <v>265.74615611033892</v>
      </c>
      <c r="Y431" s="2">
        <f t="shared" si="27"/>
        <v>1797.0044646014699</v>
      </c>
    </row>
    <row r="432" spans="1:25">
      <c r="A432" s="2" t="s">
        <v>7</v>
      </c>
      <c r="B432" s="2" t="s">
        <v>15</v>
      </c>
      <c r="C432" s="2">
        <v>6.4053490002455558</v>
      </c>
      <c r="D432" s="2">
        <v>99.733542790966524</v>
      </c>
      <c r="E432" s="2">
        <v>222.89062737266389</v>
      </c>
      <c r="J432" s="4">
        <v>1</v>
      </c>
      <c r="K432" s="4">
        <f t="shared" si="24"/>
        <v>2</v>
      </c>
      <c r="L432" s="4">
        <f t="shared" si="25"/>
        <v>4</v>
      </c>
      <c r="M432" s="4">
        <v>6.4053490002455558</v>
      </c>
      <c r="N432" s="4">
        <v>99.733542790966524</v>
      </c>
      <c r="O432" s="4">
        <v>222.89062737266389</v>
      </c>
      <c r="X432" s="22">
        <f t="shared" si="26"/>
        <v>229.64420534176625</v>
      </c>
      <c r="Y432" s="2">
        <f t="shared" si="27"/>
        <v>45.610815384744839</v>
      </c>
    </row>
    <row r="433" spans="1:25">
      <c r="A433" s="2" t="s">
        <v>7</v>
      </c>
      <c r="B433" s="2" t="s">
        <v>15</v>
      </c>
      <c r="C433" s="2">
        <v>5.6411148492684804</v>
      </c>
      <c r="D433" s="2">
        <v>177.22978020508219</v>
      </c>
      <c r="E433" s="2">
        <v>347.54323431607742</v>
      </c>
      <c r="J433" s="4">
        <v>1</v>
      </c>
      <c r="K433" s="4">
        <f t="shared" si="24"/>
        <v>2</v>
      </c>
      <c r="L433" s="4">
        <f t="shared" si="25"/>
        <v>4</v>
      </c>
      <c r="M433" s="4">
        <v>5.6411148492684804</v>
      </c>
      <c r="N433" s="4">
        <v>177.22978020508219</v>
      </c>
      <c r="O433" s="4">
        <v>347.54323431607742</v>
      </c>
      <c r="X433" s="22">
        <f t="shared" si="26"/>
        <v>335.39978811011389</v>
      </c>
      <c r="Y433" s="2">
        <f t="shared" si="27"/>
        <v>147.46328575713</v>
      </c>
    </row>
    <row r="434" spans="1:25">
      <c r="A434" s="2" t="s">
        <v>5</v>
      </c>
      <c r="B434" s="2" t="s">
        <v>17</v>
      </c>
      <c r="C434" s="2">
        <v>9.2745277589297554</v>
      </c>
      <c r="D434" s="2">
        <v>50.990729043526279</v>
      </c>
      <c r="E434" s="2">
        <v>173.99548594304309</v>
      </c>
      <c r="J434" s="4">
        <v>1</v>
      </c>
      <c r="K434" s="4">
        <f t="shared" si="24"/>
        <v>1</v>
      </c>
      <c r="L434" s="4">
        <f t="shared" si="25"/>
        <v>6</v>
      </c>
      <c r="M434" s="4">
        <v>9.2745277589297554</v>
      </c>
      <c r="N434" s="4">
        <v>50.990729043526279</v>
      </c>
      <c r="O434" s="4">
        <v>173.99548594304309</v>
      </c>
      <c r="X434" s="22">
        <f t="shared" si="26"/>
        <v>192.96777699722747</v>
      </c>
      <c r="Y434" s="2">
        <f t="shared" si="27"/>
        <v>359.9478278446847</v>
      </c>
    </row>
    <row r="435" spans="1:25">
      <c r="A435" s="2" t="s">
        <v>11</v>
      </c>
      <c r="B435" s="2" t="s">
        <v>13</v>
      </c>
      <c r="C435" s="2">
        <v>5.4726713461524721</v>
      </c>
      <c r="D435" s="2">
        <v>138.78450805890839</v>
      </c>
      <c r="E435" s="2">
        <v>264.90003634278298</v>
      </c>
      <c r="J435" s="4">
        <v>1</v>
      </c>
      <c r="K435" s="4">
        <f t="shared" si="24"/>
        <v>7</v>
      </c>
      <c r="L435" s="4">
        <f t="shared" si="25"/>
        <v>2</v>
      </c>
      <c r="M435" s="4">
        <v>5.4726713461524721</v>
      </c>
      <c r="N435" s="4">
        <v>138.78450805890839</v>
      </c>
      <c r="O435" s="4">
        <v>264.90003634278298</v>
      </c>
      <c r="X435" s="22">
        <f t="shared" si="26"/>
        <v>272.93812830301516</v>
      </c>
      <c r="Y435" s="2">
        <f t="shared" si="27"/>
        <v>64.610922361149207</v>
      </c>
    </row>
    <row r="436" spans="1:25">
      <c r="A436" s="2" t="s">
        <v>8</v>
      </c>
      <c r="B436" s="2" t="s">
        <v>12</v>
      </c>
      <c r="C436" s="2">
        <v>9.9294221334098136</v>
      </c>
      <c r="D436" s="2">
        <v>125.4729032280173</v>
      </c>
      <c r="E436" s="2">
        <v>373.85103984646292</v>
      </c>
      <c r="J436" s="4">
        <v>1</v>
      </c>
      <c r="K436" s="4">
        <f t="shared" si="24"/>
        <v>4</v>
      </c>
      <c r="L436" s="4">
        <f t="shared" si="25"/>
        <v>1</v>
      </c>
      <c r="M436" s="4">
        <v>9.9294221334098136</v>
      </c>
      <c r="N436" s="4">
        <v>125.4729032280173</v>
      </c>
      <c r="O436" s="4">
        <v>373.85103984646292</v>
      </c>
      <c r="X436" s="22">
        <f t="shared" si="26"/>
        <v>310.29604629033412</v>
      </c>
      <c r="Y436" s="2">
        <f t="shared" si="27"/>
        <v>4039.2372059195741</v>
      </c>
    </row>
    <row r="437" spans="1:25">
      <c r="A437" s="2" t="s">
        <v>9</v>
      </c>
      <c r="B437" s="2" t="s">
        <v>14</v>
      </c>
      <c r="C437" s="2">
        <v>8.6628246197058623</v>
      </c>
      <c r="D437" s="2">
        <v>66.107280738648228</v>
      </c>
      <c r="E437" s="2">
        <v>228.25787527010129</v>
      </c>
      <c r="J437" s="4">
        <v>1</v>
      </c>
      <c r="K437" s="4">
        <f t="shared" si="24"/>
        <v>5</v>
      </c>
      <c r="L437" s="4">
        <f t="shared" si="25"/>
        <v>3</v>
      </c>
      <c r="M437" s="4">
        <v>8.6628246197058623</v>
      </c>
      <c r="N437" s="4">
        <v>66.107280738648228</v>
      </c>
      <c r="O437" s="4">
        <v>228.25787527010129</v>
      </c>
      <c r="X437" s="22">
        <f t="shared" si="26"/>
        <v>205.4912110085948</v>
      </c>
      <c r="Y437" s="2">
        <f t="shared" si="27"/>
        <v>518.32100159615698</v>
      </c>
    </row>
    <row r="438" spans="1:25">
      <c r="A438" s="2" t="s">
        <v>11</v>
      </c>
      <c r="B438" s="2" t="s">
        <v>17</v>
      </c>
      <c r="C438" s="2">
        <v>2.8765946292160218</v>
      </c>
      <c r="D438" s="2">
        <v>35.954171693722799</v>
      </c>
      <c r="E438" s="2">
        <v>83.375082820333688</v>
      </c>
      <c r="J438" s="4">
        <v>1</v>
      </c>
      <c r="K438" s="4">
        <f t="shared" si="24"/>
        <v>7</v>
      </c>
      <c r="L438" s="4">
        <f t="shared" si="25"/>
        <v>6</v>
      </c>
      <c r="M438" s="4">
        <v>2.8765946292160218</v>
      </c>
      <c r="N438" s="4">
        <v>35.954171693722799</v>
      </c>
      <c r="O438" s="4">
        <v>83.375082820333688</v>
      </c>
      <c r="X438" s="22">
        <f t="shared" si="26"/>
        <v>87.597356996080066</v>
      </c>
      <c r="Y438" s="2">
        <f t="shared" si="27"/>
        <v>17.827599215174757</v>
      </c>
    </row>
    <row r="439" spans="1:25">
      <c r="A439" s="2" t="s">
        <v>9</v>
      </c>
      <c r="B439" s="2" t="s">
        <v>13</v>
      </c>
      <c r="C439" s="2">
        <v>9.3753569317952454</v>
      </c>
      <c r="D439" s="2">
        <v>133.8115544906826</v>
      </c>
      <c r="E439" s="2">
        <v>333.25340850264558</v>
      </c>
      <c r="J439" s="4">
        <v>1</v>
      </c>
      <c r="K439" s="4">
        <f t="shared" si="24"/>
        <v>5</v>
      </c>
      <c r="L439" s="4">
        <f t="shared" si="25"/>
        <v>2</v>
      </c>
      <c r="M439" s="4">
        <v>9.3753569317952454</v>
      </c>
      <c r="N439" s="4">
        <v>133.8115544906826</v>
      </c>
      <c r="O439" s="4">
        <v>333.25340850264558</v>
      </c>
      <c r="X439" s="22">
        <f t="shared" si="26"/>
        <v>315.0194645107278</v>
      </c>
      <c r="Y439" s="2">
        <f t="shared" si="27"/>
        <v>332.47671350039462</v>
      </c>
    </row>
    <row r="440" spans="1:25">
      <c r="A440" s="2" t="s">
        <v>5</v>
      </c>
      <c r="B440" s="2" t="s">
        <v>12</v>
      </c>
      <c r="C440" s="2">
        <v>2.047297580969285</v>
      </c>
      <c r="D440" s="2">
        <v>150.3335170451428</v>
      </c>
      <c r="E440" s="2">
        <v>205.00230895389541</v>
      </c>
      <c r="J440" s="4">
        <v>1</v>
      </c>
      <c r="K440" s="4">
        <f t="shared" si="24"/>
        <v>1</v>
      </c>
      <c r="L440" s="4">
        <f t="shared" si="25"/>
        <v>1</v>
      </c>
      <c r="M440" s="4">
        <v>2.047297580969285</v>
      </c>
      <c r="N440" s="4">
        <v>150.3335170451428</v>
      </c>
      <c r="O440" s="4">
        <v>205.00230895389541</v>
      </c>
      <c r="X440" s="22">
        <f t="shared" si="26"/>
        <v>252.29843122043152</v>
      </c>
      <c r="Y440" s="2">
        <f t="shared" si="27"/>
        <v>2236.9231814511336</v>
      </c>
    </row>
    <row r="441" spans="1:25">
      <c r="A441" s="2" t="s">
        <v>10</v>
      </c>
      <c r="B441" s="2" t="s">
        <v>12</v>
      </c>
      <c r="C441" s="2">
        <v>8.3570473764207236</v>
      </c>
      <c r="D441" s="2">
        <v>69.969195315036501</v>
      </c>
      <c r="E441" s="2">
        <v>229.12797339676411</v>
      </c>
      <c r="J441" s="4">
        <v>1</v>
      </c>
      <c r="K441" s="4">
        <f t="shared" si="24"/>
        <v>6</v>
      </c>
      <c r="L441" s="4">
        <f t="shared" si="25"/>
        <v>1</v>
      </c>
      <c r="M441" s="4">
        <v>8.3570473764207236</v>
      </c>
      <c r="N441" s="4">
        <v>69.969195315036501</v>
      </c>
      <c r="O441" s="4">
        <v>229.12797339676411</v>
      </c>
      <c r="X441" s="22">
        <f t="shared" si="26"/>
        <v>207.03681533064884</v>
      </c>
      <c r="Y441" s="2">
        <f t="shared" si="27"/>
        <v>488.01926470208974</v>
      </c>
    </row>
    <row r="442" spans="1:25">
      <c r="A442" s="2" t="s">
        <v>9</v>
      </c>
      <c r="B442" s="2" t="s">
        <v>17</v>
      </c>
      <c r="C442" s="2">
        <v>4.4256096412892214</v>
      </c>
      <c r="D442" s="2">
        <v>132.51819476423961</v>
      </c>
      <c r="E442" s="2">
        <v>219.14067320492191</v>
      </c>
      <c r="J442" s="4">
        <v>1</v>
      </c>
      <c r="K442" s="4">
        <f t="shared" si="24"/>
        <v>5</v>
      </c>
      <c r="L442" s="4">
        <f t="shared" si="25"/>
        <v>6</v>
      </c>
      <c r="M442" s="4">
        <v>4.4256096412892214</v>
      </c>
      <c r="N442" s="4">
        <v>132.51819476423961</v>
      </c>
      <c r="O442" s="4">
        <v>219.14067320492191</v>
      </c>
      <c r="X442" s="22">
        <f t="shared" si="26"/>
        <v>251.58833715507569</v>
      </c>
      <c r="Y442" s="2">
        <f t="shared" si="27"/>
        <v>1052.8508958221094</v>
      </c>
    </row>
    <row r="443" spans="1:25">
      <c r="A443" s="2" t="s">
        <v>8</v>
      </c>
      <c r="B443" s="2" t="s">
        <v>16</v>
      </c>
      <c r="C443" s="2">
        <v>8.9017688840056266</v>
      </c>
      <c r="D443" s="2">
        <v>85.074872446185623</v>
      </c>
      <c r="E443" s="2">
        <v>262.05036613391331</v>
      </c>
      <c r="J443" s="4">
        <v>1</v>
      </c>
      <c r="K443" s="4">
        <f t="shared" si="24"/>
        <v>4</v>
      </c>
      <c r="L443" s="4">
        <f t="shared" si="25"/>
        <v>5</v>
      </c>
      <c r="M443" s="4">
        <v>8.9017688840056266</v>
      </c>
      <c r="N443" s="4">
        <v>85.074872446185623</v>
      </c>
      <c r="O443" s="4">
        <v>262.05036613391331</v>
      </c>
      <c r="X443" s="22">
        <f t="shared" si="26"/>
        <v>237.04935686935013</v>
      </c>
      <c r="Y443" s="2">
        <f t="shared" si="27"/>
        <v>625.05046424677391</v>
      </c>
    </row>
    <row r="444" spans="1:25">
      <c r="A444" s="2" t="s">
        <v>10</v>
      </c>
      <c r="B444" s="2" t="s">
        <v>14</v>
      </c>
      <c r="C444" s="2">
        <v>8.8125102109670532</v>
      </c>
      <c r="D444" s="2">
        <v>145.50930782369741</v>
      </c>
      <c r="E444" s="2">
        <v>389.47364123018281</v>
      </c>
      <c r="J444" s="4">
        <v>1</v>
      </c>
      <c r="K444" s="4">
        <f t="shared" si="24"/>
        <v>6</v>
      </c>
      <c r="L444" s="4">
        <f t="shared" si="25"/>
        <v>3</v>
      </c>
      <c r="M444" s="4">
        <v>8.8125102109670532</v>
      </c>
      <c r="N444" s="4">
        <v>145.50930782369741</v>
      </c>
      <c r="O444" s="4">
        <v>389.47364123018281</v>
      </c>
      <c r="X444" s="22">
        <f t="shared" si="26"/>
        <v>324.62667983037488</v>
      </c>
      <c r="Y444" s="2">
        <f t="shared" si="27"/>
        <v>4205.1284027881793</v>
      </c>
    </row>
    <row r="445" spans="1:25">
      <c r="A445" s="2" t="s">
        <v>9</v>
      </c>
      <c r="B445" s="2" t="s">
        <v>12</v>
      </c>
      <c r="C445" s="2">
        <v>8.2533286010585911</v>
      </c>
      <c r="D445" s="2">
        <v>47.850902229870087</v>
      </c>
      <c r="E445" s="2">
        <v>113.2892783432558</v>
      </c>
      <c r="J445" s="4">
        <v>1</v>
      </c>
      <c r="K445" s="4">
        <f t="shared" si="24"/>
        <v>5</v>
      </c>
      <c r="L445" s="4">
        <f t="shared" si="25"/>
        <v>1</v>
      </c>
      <c r="M445" s="4">
        <v>8.2533286010585911</v>
      </c>
      <c r="N445" s="4">
        <v>47.850902229870087</v>
      </c>
      <c r="O445" s="4">
        <v>113.2892783432558</v>
      </c>
      <c r="X445" s="22">
        <f t="shared" si="26"/>
        <v>173.59629229933182</v>
      </c>
      <c r="Y445" s="2">
        <f t="shared" si="27"/>
        <v>3636.9359322983478</v>
      </c>
    </row>
    <row r="446" spans="1:25">
      <c r="A446" s="2" t="s">
        <v>5</v>
      </c>
      <c r="B446" s="2" t="s">
        <v>17</v>
      </c>
      <c r="C446" s="2">
        <v>8.1102739267635524</v>
      </c>
      <c r="D446" s="2">
        <v>179.14085050087311</v>
      </c>
      <c r="E446" s="2">
        <v>363.88412048192959</v>
      </c>
      <c r="J446" s="4">
        <v>1</v>
      </c>
      <c r="K446" s="4">
        <f t="shared" si="24"/>
        <v>1</v>
      </c>
      <c r="L446" s="4">
        <f t="shared" si="25"/>
        <v>6</v>
      </c>
      <c r="M446" s="4">
        <v>8.1102739267635524</v>
      </c>
      <c r="N446" s="4">
        <v>179.14085050087311</v>
      </c>
      <c r="O446" s="4">
        <v>363.88412048192959</v>
      </c>
      <c r="X446" s="22">
        <f t="shared" si="26"/>
        <v>369.0737571125623</v>
      </c>
      <c r="Y446" s="2">
        <f t="shared" si="27"/>
        <v>26.932328358004927</v>
      </c>
    </row>
    <row r="447" spans="1:25">
      <c r="A447" s="2" t="s">
        <v>10</v>
      </c>
      <c r="B447" s="2" t="s">
        <v>17</v>
      </c>
      <c r="C447" s="2">
        <v>3.7421122518823671</v>
      </c>
      <c r="D447" s="2">
        <v>64.607823328460142</v>
      </c>
      <c r="E447" s="2">
        <v>157.16956674200259</v>
      </c>
      <c r="J447" s="4">
        <v>1</v>
      </c>
      <c r="K447" s="4">
        <f t="shared" si="24"/>
        <v>6</v>
      </c>
      <c r="L447" s="4">
        <f t="shared" si="25"/>
        <v>6</v>
      </c>
      <c r="M447" s="4">
        <v>3.7421122518823671</v>
      </c>
      <c r="N447" s="4">
        <v>64.607823328460142</v>
      </c>
      <c r="O447" s="4">
        <v>157.16956674200259</v>
      </c>
      <c r="X447" s="22">
        <f t="shared" si="26"/>
        <v>141.54401786573328</v>
      </c>
      <c r="Y447" s="2">
        <f t="shared" si="27"/>
        <v>244.15777768468098</v>
      </c>
    </row>
    <row r="448" spans="1:25">
      <c r="A448" s="2" t="s">
        <v>5</v>
      </c>
      <c r="B448" s="2" t="s">
        <v>13</v>
      </c>
      <c r="C448" s="2">
        <v>1.72827354746127</v>
      </c>
      <c r="D448" s="2">
        <v>79.879337673669056</v>
      </c>
      <c r="E448" s="2">
        <v>115.0776342578723</v>
      </c>
      <c r="J448" s="4">
        <v>1</v>
      </c>
      <c r="K448" s="4">
        <f t="shared" si="24"/>
        <v>1</v>
      </c>
      <c r="L448" s="4">
        <f t="shared" si="25"/>
        <v>2</v>
      </c>
      <c r="M448" s="4">
        <v>1.72827354746127</v>
      </c>
      <c r="N448" s="4">
        <v>79.879337673669056</v>
      </c>
      <c r="O448" s="4">
        <v>115.0776342578723</v>
      </c>
      <c r="X448" s="22">
        <f t="shared" si="26"/>
        <v>143.52931731227434</v>
      </c>
      <c r="Y448" s="2">
        <f t="shared" si="27"/>
        <v>809.49826862814814</v>
      </c>
    </row>
    <row r="449" spans="1:25">
      <c r="A449" s="2" t="s">
        <v>9</v>
      </c>
      <c r="B449" s="2" t="s">
        <v>16</v>
      </c>
      <c r="C449" s="2">
        <v>4.6268216088864529</v>
      </c>
      <c r="D449" s="2">
        <v>21.037470895266459</v>
      </c>
      <c r="E449" s="2">
        <v>108.0282156528563</v>
      </c>
      <c r="J449" s="4">
        <v>1</v>
      </c>
      <c r="K449" s="4">
        <f t="shared" si="24"/>
        <v>5</v>
      </c>
      <c r="L449" s="4">
        <f t="shared" si="25"/>
        <v>5</v>
      </c>
      <c r="M449" s="4">
        <v>4.6268216088864529</v>
      </c>
      <c r="N449" s="4">
        <v>21.037470895266459</v>
      </c>
      <c r="O449" s="4">
        <v>108.0282156528563</v>
      </c>
      <c r="X449" s="22">
        <f t="shared" si="26"/>
        <v>88.534678788250005</v>
      </c>
      <c r="Y449" s="2">
        <f t="shared" si="27"/>
        <v>379.99797949176474</v>
      </c>
    </row>
    <row r="450" spans="1:25">
      <c r="A450" s="2" t="s">
        <v>5</v>
      </c>
      <c r="B450" s="2" t="s">
        <v>14</v>
      </c>
      <c r="C450" s="2">
        <v>2.5617206348785779</v>
      </c>
      <c r="D450" s="2">
        <v>31.187320341042511</v>
      </c>
      <c r="E450" s="2">
        <v>88.343664045350252</v>
      </c>
      <c r="J450" s="4">
        <v>1</v>
      </c>
      <c r="K450" s="4">
        <f t="shared" si="24"/>
        <v>1</v>
      </c>
      <c r="L450" s="4">
        <f t="shared" si="25"/>
        <v>3</v>
      </c>
      <c r="M450" s="4">
        <v>2.5617206348785779</v>
      </c>
      <c r="N450" s="4">
        <v>31.187320341042511</v>
      </c>
      <c r="O450" s="4">
        <v>88.343664045350252</v>
      </c>
      <c r="X450" s="22">
        <f t="shared" si="26"/>
        <v>81.292575834488503</v>
      </c>
      <c r="Y450" s="2">
        <f t="shared" si="27"/>
        <v>49.717844957353549</v>
      </c>
    </row>
    <row r="451" spans="1:25">
      <c r="A451" s="2" t="s">
        <v>8</v>
      </c>
      <c r="B451" s="2" t="s">
        <v>15</v>
      </c>
      <c r="C451" s="2">
        <v>7.2545598001221556</v>
      </c>
      <c r="D451" s="2">
        <v>108.0137615153423</v>
      </c>
      <c r="E451" s="2">
        <v>256.61869263513341</v>
      </c>
      <c r="J451" s="4">
        <v>1</v>
      </c>
      <c r="K451" s="4">
        <f t="shared" si="24"/>
        <v>4</v>
      </c>
      <c r="L451" s="4">
        <f t="shared" si="25"/>
        <v>4</v>
      </c>
      <c r="M451" s="4">
        <v>7.2545598001221556</v>
      </c>
      <c r="N451" s="4">
        <v>108.0137615153423</v>
      </c>
      <c r="O451" s="4">
        <v>256.61869263513341</v>
      </c>
      <c r="X451" s="22">
        <f t="shared" si="26"/>
        <v>250.99372573692435</v>
      </c>
      <c r="Y451" s="2">
        <f t="shared" si="27"/>
        <v>31.64025260594773</v>
      </c>
    </row>
    <row r="452" spans="1:25">
      <c r="A452" s="2" t="s">
        <v>9</v>
      </c>
      <c r="B452" s="2" t="s">
        <v>13</v>
      </c>
      <c r="C452" s="2">
        <v>4.1148975388400704</v>
      </c>
      <c r="D452" s="2">
        <v>60.842608578314582</v>
      </c>
      <c r="E452" s="2">
        <v>135.97129987024169</v>
      </c>
      <c r="J452" s="4">
        <v>1</v>
      </c>
      <c r="K452" s="4">
        <f t="shared" ref="K452:K515" si="28">VLOOKUP(A452, $F$3:$G$9, 2, FALSE)</f>
        <v>5</v>
      </c>
      <c r="L452" s="4">
        <f t="shared" ref="L452:L515" si="29">VLOOKUP(B452, $H$3:$I$8, 2, FALSE)</f>
        <v>2</v>
      </c>
      <c r="M452" s="4">
        <v>4.1148975388400704</v>
      </c>
      <c r="N452" s="4">
        <v>60.842608578314582</v>
      </c>
      <c r="O452" s="4">
        <v>135.97129987024169</v>
      </c>
      <c r="X452" s="22">
        <f t="shared" ref="X452:X515" si="30">$U$16+$U$17*K452+$U$18*L452+$U$19*M452+$U$20*N452</f>
        <v>141.80237727632766</v>
      </c>
      <c r="Y452" s="2">
        <f t="shared" ref="Y452:Y515" si="31">POWER(O452-X452,2)</f>
        <v>34.001463715766249</v>
      </c>
    </row>
    <row r="453" spans="1:25">
      <c r="A453" s="2" t="s">
        <v>9</v>
      </c>
      <c r="B453" s="2" t="s">
        <v>12</v>
      </c>
      <c r="C453" s="2">
        <v>9.7804918077392333</v>
      </c>
      <c r="D453" s="2">
        <v>168.7412428910169</v>
      </c>
      <c r="E453" s="2">
        <v>307.8516532248488</v>
      </c>
      <c r="J453" s="4">
        <v>1</v>
      </c>
      <c r="K453" s="4">
        <f t="shared" si="28"/>
        <v>5</v>
      </c>
      <c r="L453" s="4">
        <f t="shared" si="29"/>
        <v>1</v>
      </c>
      <c r="M453" s="4">
        <v>9.7804918077392333</v>
      </c>
      <c r="N453" s="4">
        <v>168.7412428910169</v>
      </c>
      <c r="O453" s="4">
        <v>307.8516532248488</v>
      </c>
      <c r="X453" s="22">
        <f t="shared" si="30"/>
        <v>372.05630494037689</v>
      </c>
      <c r="Y453" s="2">
        <f t="shared" si="31"/>
        <v>4122.2373019122633</v>
      </c>
    </row>
    <row r="454" spans="1:25">
      <c r="A454" s="2" t="s">
        <v>9</v>
      </c>
      <c r="B454" s="2" t="s">
        <v>12</v>
      </c>
      <c r="C454" s="2">
        <v>6.7687486961079877</v>
      </c>
      <c r="D454" s="2">
        <v>12.79174384444123</v>
      </c>
      <c r="E454" s="2">
        <v>152.13994140821339</v>
      </c>
      <c r="J454" s="4">
        <v>1</v>
      </c>
      <c r="K454" s="4">
        <f t="shared" si="28"/>
        <v>5</v>
      </c>
      <c r="L454" s="4">
        <f t="shared" si="29"/>
        <v>1</v>
      </c>
      <c r="M454" s="4">
        <v>6.7687486961079877</v>
      </c>
      <c r="N454" s="4">
        <v>12.79174384444123</v>
      </c>
      <c r="O454" s="4">
        <v>152.13994140821339</v>
      </c>
      <c r="X454" s="22">
        <f t="shared" si="30"/>
        <v>103.21369502624995</v>
      </c>
      <c r="Y454" s="2">
        <f t="shared" si="31"/>
        <v>2393.7775850285902</v>
      </c>
    </row>
    <row r="455" spans="1:25">
      <c r="A455" s="2" t="s">
        <v>11</v>
      </c>
      <c r="B455" s="2" t="s">
        <v>13</v>
      </c>
      <c r="C455" s="2">
        <v>8.4023250727092496</v>
      </c>
      <c r="D455" s="2">
        <v>82.02786924766788</v>
      </c>
      <c r="E455" s="2">
        <v>201.97825522276401</v>
      </c>
      <c r="J455" s="4">
        <v>1</v>
      </c>
      <c r="K455" s="4">
        <f t="shared" si="28"/>
        <v>7</v>
      </c>
      <c r="L455" s="4">
        <f t="shared" si="29"/>
        <v>2</v>
      </c>
      <c r="M455" s="4">
        <v>8.4023250727092496</v>
      </c>
      <c r="N455" s="4">
        <v>82.02786924766788</v>
      </c>
      <c r="O455" s="4">
        <v>201.97825522276401</v>
      </c>
      <c r="X455" s="22">
        <f t="shared" si="30"/>
        <v>224.66897725021806</v>
      </c>
      <c r="Y455" s="2">
        <f t="shared" si="31"/>
        <v>514.86886612718877</v>
      </c>
    </row>
    <row r="456" spans="1:25">
      <c r="A456" s="2" t="s">
        <v>11</v>
      </c>
      <c r="B456" s="2" t="s">
        <v>17</v>
      </c>
      <c r="C456" s="2">
        <v>2.1927220546766359</v>
      </c>
      <c r="D456" s="2">
        <v>74.095653886127607</v>
      </c>
      <c r="E456" s="2">
        <v>155.38393703061459</v>
      </c>
      <c r="J456" s="4">
        <v>1</v>
      </c>
      <c r="K456" s="4">
        <f t="shared" si="28"/>
        <v>7</v>
      </c>
      <c r="L456" s="4">
        <f t="shared" si="29"/>
        <v>6</v>
      </c>
      <c r="M456" s="4">
        <v>2.1927220546766359</v>
      </c>
      <c r="N456" s="4">
        <v>74.095653886127607</v>
      </c>
      <c r="O456" s="4">
        <v>155.38393703061459</v>
      </c>
      <c r="X456" s="22">
        <f t="shared" si="30"/>
        <v>135.85774336691458</v>
      </c>
      <c r="Y456" s="2">
        <f t="shared" si="31"/>
        <v>381.27223899231853</v>
      </c>
    </row>
    <row r="457" spans="1:25">
      <c r="A457" s="2" t="s">
        <v>11</v>
      </c>
      <c r="B457" s="2" t="s">
        <v>12</v>
      </c>
      <c r="C457" s="2">
        <v>8.7581303404536026</v>
      </c>
      <c r="D457" s="2">
        <v>13.6722498743442</v>
      </c>
      <c r="E457" s="2">
        <v>134.24470765609681</v>
      </c>
      <c r="J457" s="4">
        <v>1</v>
      </c>
      <c r="K457" s="4">
        <f t="shared" si="28"/>
        <v>7</v>
      </c>
      <c r="L457" s="4">
        <f t="shared" si="29"/>
        <v>1</v>
      </c>
      <c r="M457" s="4">
        <v>8.7581303404536026</v>
      </c>
      <c r="N457" s="4">
        <v>13.6722498743442</v>
      </c>
      <c r="O457" s="4">
        <v>134.24470765609681</v>
      </c>
      <c r="X457" s="22">
        <f t="shared" si="30"/>
        <v>127.6068901793452</v>
      </c>
      <c r="Y457" s="2">
        <f t="shared" si="31"/>
        <v>44.060620854669075</v>
      </c>
    </row>
    <row r="458" spans="1:25">
      <c r="A458" s="2" t="s">
        <v>8</v>
      </c>
      <c r="B458" s="2" t="s">
        <v>16</v>
      </c>
      <c r="C458" s="2">
        <v>9.3048147146205498</v>
      </c>
      <c r="D458" s="2">
        <v>33.629995810096943</v>
      </c>
      <c r="E458" s="2">
        <v>120.45659807960909</v>
      </c>
      <c r="J458" s="4">
        <v>1</v>
      </c>
      <c r="K458" s="4">
        <f t="shared" si="28"/>
        <v>4</v>
      </c>
      <c r="L458" s="4">
        <f t="shared" si="29"/>
        <v>5</v>
      </c>
      <c r="M458" s="4">
        <v>9.3048147146205498</v>
      </c>
      <c r="N458" s="4">
        <v>33.629995810096943</v>
      </c>
      <c r="O458" s="4">
        <v>120.45659807960909</v>
      </c>
      <c r="X458" s="22">
        <f t="shared" si="30"/>
        <v>165.56073645267406</v>
      </c>
      <c r="Y458" s="2">
        <f t="shared" si="31"/>
        <v>2034.3832983765919</v>
      </c>
    </row>
    <row r="459" spans="1:25">
      <c r="A459" s="2" t="s">
        <v>10</v>
      </c>
      <c r="B459" s="2" t="s">
        <v>14</v>
      </c>
      <c r="C459" s="2">
        <v>5.3835572693704226</v>
      </c>
      <c r="D459" s="2">
        <v>88.592108234540703</v>
      </c>
      <c r="E459" s="2">
        <v>146.9862197591558</v>
      </c>
      <c r="J459" s="4">
        <v>1</v>
      </c>
      <c r="K459" s="4">
        <f t="shared" si="28"/>
        <v>6</v>
      </c>
      <c r="L459" s="4">
        <f t="shared" si="29"/>
        <v>3</v>
      </c>
      <c r="M459" s="4">
        <v>5.3835572693704226</v>
      </c>
      <c r="N459" s="4">
        <v>88.592108234540703</v>
      </c>
      <c r="O459" s="4">
        <v>146.9862197591558</v>
      </c>
      <c r="X459" s="22">
        <f t="shared" si="30"/>
        <v>197.81756066600303</v>
      </c>
      <c r="Y459" s="2">
        <f t="shared" si="31"/>
        <v>2583.8252183881209</v>
      </c>
    </row>
    <row r="460" spans="1:25">
      <c r="A460" s="2" t="s">
        <v>5</v>
      </c>
      <c r="B460" s="2" t="s">
        <v>16</v>
      </c>
      <c r="C460" s="2">
        <v>6.4562764397587973</v>
      </c>
      <c r="D460" s="2">
        <v>103.6442710450149</v>
      </c>
      <c r="E460" s="2">
        <v>218.95025719182379</v>
      </c>
      <c r="J460" s="4">
        <v>1</v>
      </c>
      <c r="K460" s="4">
        <f t="shared" si="28"/>
        <v>1</v>
      </c>
      <c r="L460" s="4">
        <f t="shared" si="29"/>
        <v>5</v>
      </c>
      <c r="M460" s="4">
        <v>6.4562764397587973</v>
      </c>
      <c r="N460" s="4">
        <v>103.6442710450149</v>
      </c>
      <c r="O460" s="4">
        <v>218.95025719182379</v>
      </c>
      <c r="X460" s="22">
        <f t="shared" si="30"/>
        <v>236.65036814981596</v>
      </c>
      <c r="Y460" s="2">
        <f t="shared" si="31"/>
        <v>313.29392792523436</v>
      </c>
    </row>
    <row r="461" spans="1:25">
      <c r="A461" s="2" t="s">
        <v>7</v>
      </c>
      <c r="B461" s="2" t="s">
        <v>12</v>
      </c>
      <c r="C461" s="2">
        <v>7.8832882081269586</v>
      </c>
      <c r="D461" s="2">
        <v>86.815051978425132</v>
      </c>
      <c r="E461" s="2">
        <v>273.61829828378029</v>
      </c>
      <c r="J461" s="4">
        <v>1</v>
      </c>
      <c r="K461" s="4">
        <f t="shared" si="28"/>
        <v>2</v>
      </c>
      <c r="L461" s="4">
        <f t="shared" si="29"/>
        <v>1</v>
      </c>
      <c r="M461" s="4">
        <v>7.8832882081269586</v>
      </c>
      <c r="N461" s="4">
        <v>86.815051978425132</v>
      </c>
      <c r="O461" s="4">
        <v>273.61829828378029</v>
      </c>
      <c r="X461" s="22">
        <f t="shared" si="30"/>
        <v>229.06337924953158</v>
      </c>
      <c r="Y461" s="2">
        <f t="shared" si="31"/>
        <v>1985.1408101484583</v>
      </c>
    </row>
    <row r="462" spans="1:25">
      <c r="A462" s="2" t="s">
        <v>9</v>
      </c>
      <c r="B462" s="2" t="s">
        <v>15</v>
      </c>
      <c r="C462" s="2">
        <v>2.5735476453437132</v>
      </c>
      <c r="D462" s="2">
        <v>110.8781588982978</v>
      </c>
      <c r="E462" s="2">
        <v>201.39167254062889</v>
      </c>
      <c r="J462" s="4">
        <v>1</v>
      </c>
      <c r="K462" s="4">
        <f t="shared" si="28"/>
        <v>5</v>
      </c>
      <c r="L462" s="4">
        <f t="shared" si="29"/>
        <v>4</v>
      </c>
      <c r="M462" s="4">
        <v>2.5735476453437132</v>
      </c>
      <c r="N462" s="4">
        <v>110.8781588982978</v>
      </c>
      <c r="O462" s="4">
        <v>201.39167254062889</v>
      </c>
      <c r="X462" s="22">
        <f t="shared" si="30"/>
        <v>196.90089961825649</v>
      </c>
      <c r="Y462" s="2">
        <f t="shared" si="31"/>
        <v>20.167041440313149</v>
      </c>
    </row>
    <row r="463" spans="1:25">
      <c r="A463" s="2" t="s">
        <v>5</v>
      </c>
      <c r="B463" s="2" t="s">
        <v>14</v>
      </c>
      <c r="C463" s="2">
        <v>5.5230946881709819</v>
      </c>
      <c r="D463" s="2">
        <v>123.0750182320795</v>
      </c>
      <c r="E463" s="2">
        <v>241.67680397851441</v>
      </c>
      <c r="J463" s="4">
        <v>1</v>
      </c>
      <c r="K463" s="4">
        <f t="shared" si="28"/>
        <v>1</v>
      </c>
      <c r="L463" s="4">
        <f t="shared" si="29"/>
        <v>3</v>
      </c>
      <c r="M463" s="4">
        <v>5.5230946881709819</v>
      </c>
      <c r="N463" s="4">
        <v>123.0750182320795</v>
      </c>
      <c r="O463" s="4">
        <v>241.67680397851441</v>
      </c>
      <c r="X463" s="22">
        <f t="shared" si="30"/>
        <v>254.31319823853818</v>
      </c>
      <c r="Y463" s="2">
        <f t="shared" si="31"/>
        <v>159.67845989476152</v>
      </c>
    </row>
    <row r="464" spans="1:25">
      <c r="A464" s="2" t="s">
        <v>9</v>
      </c>
      <c r="B464" s="2" t="s">
        <v>14</v>
      </c>
      <c r="C464" s="2">
        <v>4.5879672499508182</v>
      </c>
      <c r="D464" s="2">
        <v>11.88552601428877</v>
      </c>
      <c r="E464" s="2">
        <v>60.303374128483561</v>
      </c>
      <c r="J464" s="4">
        <v>1</v>
      </c>
      <c r="K464" s="4">
        <f t="shared" si="28"/>
        <v>5</v>
      </c>
      <c r="L464" s="4">
        <f t="shared" si="29"/>
        <v>3</v>
      </c>
      <c r="M464" s="4">
        <v>4.5879672499508182</v>
      </c>
      <c r="N464" s="4">
        <v>11.88552601428877</v>
      </c>
      <c r="O464" s="4">
        <v>60.303374128483561</v>
      </c>
      <c r="X464" s="22">
        <f t="shared" si="30"/>
        <v>74.733953723981259</v>
      </c>
      <c r="Y464" s="2">
        <f t="shared" si="31"/>
        <v>208.24162746199448</v>
      </c>
    </row>
    <row r="465" spans="1:25">
      <c r="A465" s="2" t="s">
        <v>8</v>
      </c>
      <c r="B465" s="2" t="s">
        <v>13</v>
      </c>
      <c r="C465" s="2">
        <v>2.3173659294602418</v>
      </c>
      <c r="D465" s="2">
        <v>98.178080296165732</v>
      </c>
      <c r="E465" s="2">
        <v>162.73266766187689</v>
      </c>
      <c r="J465" s="4">
        <v>1</v>
      </c>
      <c r="K465" s="4">
        <f t="shared" si="28"/>
        <v>4</v>
      </c>
      <c r="L465" s="4">
        <f t="shared" si="29"/>
        <v>2</v>
      </c>
      <c r="M465" s="4">
        <v>2.3173659294602418</v>
      </c>
      <c r="N465" s="4">
        <v>98.178080296165732</v>
      </c>
      <c r="O465" s="4">
        <v>162.73266766187689</v>
      </c>
      <c r="X465" s="22">
        <f t="shared" si="30"/>
        <v>175.85761461545056</v>
      </c>
      <c r="Y465" s="2">
        <f t="shared" si="31"/>
        <v>172.26423253412275</v>
      </c>
    </row>
    <row r="466" spans="1:25">
      <c r="A466" s="2" t="s">
        <v>9</v>
      </c>
      <c r="B466" s="2" t="s">
        <v>13</v>
      </c>
      <c r="C466" s="2">
        <v>4.307809800623783</v>
      </c>
      <c r="D466" s="2">
        <v>193.06485576864179</v>
      </c>
      <c r="E466" s="2">
        <v>321.76568884794091</v>
      </c>
      <c r="J466" s="4">
        <v>1</v>
      </c>
      <c r="K466" s="4">
        <f t="shared" si="28"/>
        <v>5</v>
      </c>
      <c r="L466" s="4">
        <f t="shared" si="29"/>
        <v>2</v>
      </c>
      <c r="M466" s="4">
        <v>4.307809800623783</v>
      </c>
      <c r="N466" s="4">
        <v>193.06485576864179</v>
      </c>
      <c r="O466" s="4">
        <v>321.76568884794091</v>
      </c>
      <c r="X466" s="22">
        <f t="shared" si="30"/>
        <v>340.67236956833312</v>
      </c>
      <c r="Y466" s="2">
        <f t="shared" si="31"/>
        <v>357.46257586285077</v>
      </c>
    </row>
    <row r="467" spans="1:25">
      <c r="A467" s="2" t="s">
        <v>11</v>
      </c>
      <c r="B467" s="2" t="s">
        <v>15</v>
      </c>
      <c r="C467" s="2">
        <v>1.6135507844694419</v>
      </c>
      <c r="D467" s="2">
        <v>108.6161332246143</v>
      </c>
      <c r="E467" s="2">
        <v>175.119590028293</v>
      </c>
      <c r="J467" s="4">
        <v>1</v>
      </c>
      <c r="K467" s="4">
        <f t="shared" si="28"/>
        <v>7</v>
      </c>
      <c r="L467" s="4">
        <f t="shared" si="29"/>
        <v>4</v>
      </c>
      <c r="M467" s="4">
        <v>1.6135507844694419</v>
      </c>
      <c r="N467" s="4">
        <v>108.6161332246143</v>
      </c>
      <c r="O467" s="4">
        <v>175.119590028293</v>
      </c>
      <c r="X467" s="22">
        <f t="shared" si="30"/>
        <v>180.3046712549426</v>
      </c>
      <c r="Y467" s="2">
        <f t="shared" si="31"/>
        <v>26.885067326954129</v>
      </c>
    </row>
    <row r="468" spans="1:25">
      <c r="A468" s="2" t="s">
        <v>7</v>
      </c>
      <c r="B468" s="2" t="s">
        <v>17</v>
      </c>
      <c r="C468" s="2">
        <v>1.232307162545383</v>
      </c>
      <c r="D468" s="2">
        <v>138.7330308172011</v>
      </c>
      <c r="E468" s="2">
        <v>260.93592482885299</v>
      </c>
      <c r="J468" s="4">
        <v>1</v>
      </c>
      <c r="K468" s="4">
        <f t="shared" si="28"/>
        <v>2</v>
      </c>
      <c r="L468" s="4">
        <f t="shared" si="29"/>
        <v>6</v>
      </c>
      <c r="M468" s="4">
        <v>1.232307162545383</v>
      </c>
      <c r="N468" s="4">
        <v>138.7330308172011</v>
      </c>
      <c r="O468" s="4">
        <v>260.93592482885299</v>
      </c>
      <c r="X468" s="22">
        <f t="shared" si="30"/>
        <v>223.62062514737318</v>
      </c>
      <c r="Y468" s="2">
        <f t="shared" si="31"/>
        <v>1392.4315903186475</v>
      </c>
    </row>
    <row r="469" spans="1:25">
      <c r="A469" s="2" t="s">
        <v>6</v>
      </c>
      <c r="B469" s="2" t="s">
        <v>14</v>
      </c>
      <c r="C469" s="2">
        <v>2.2164966023934052</v>
      </c>
      <c r="D469" s="2">
        <v>69.254133004207802</v>
      </c>
      <c r="E469" s="2">
        <v>152.5685041584124</v>
      </c>
      <c r="J469" s="4">
        <v>1</v>
      </c>
      <c r="K469" s="4">
        <f t="shared" si="28"/>
        <v>3</v>
      </c>
      <c r="L469" s="4">
        <f t="shared" si="29"/>
        <v>3</v>
      </c>
      <c r="M469" s="4">
        <v>2.2164966023934052</v>
      </c>
      <c r="N469" s="4">
        <v>69.254133004207802</v>
      </c>
      <c r="O469" s="4">
        <v>152.5685041584124</v>
      </c>
      <c r="X469" s="22">
        <f t="shared" si="30"/>
        <v>132.19916759400888</v>
      </c>
      <c r="Y469" s="2">
        <f t="shared" si="31"/>
        <v>414.90987207394585</v>
      </c>
    </row>
    <row r="470" spans="1:25">
      <c r="A470" s="2" t="s">
        <v>9</v>
      </c>
      <c r="B470" s="2" t="s">
        <v>15</v>
      </c>
      <c r="C470" s="2">
        <v>9.6680360043025644</v>
      </c>
      <c r="D470" s="2">
        <v>157.05836184902489</v>
      </c>
      <c r="E470" s="2">
        <v>341.6665316877137</v>
      </c>
      <c r="J470" s="4">
        <v>1</v>
      </c>
      <c r="K470" s="4">
        <f t="shared" si="28"/>
        <v>5</v>
      </c>
      <c r="L470" s="4">
        <f t="shared" si="29"/>
        <v>4</v>
      </c>
      <c r="M470" s="4">
        <v>9.6680360043025644</v>
      </c>
      <c r="N470" s="4">
        <v>157.05836184902489</v>
      </c>
      <c r="O470" s="4">
        <v>341.6665316877137</v>
      </c>
      <c r="X470" s="22">
        <f t="shared" si="30"/>
        <v>352.89210867047757</v>
      </c>
      <c r="Y470" s="2">
        <f t="shared" si="31"/>
        <v>126.01357859595797</v>
      </c>
    </row>
    <row r="471" spans="1:25">
      <c r="A471" s="2" t="s">
        <v>5</v>
      </c>
      <c r="B471" s="2" t="s">
        <v>13</v>
      </c>
      <c r="C471" s="2">
        <v>5.9457658230551527</v>
      </c>
      <c r="D471" s="2">
        <v>156.8550815564619</v>
      </c>
      <c r="E471" s="2">
        <v>339.85350974787133</v>
      </c>
      <c r="J471" s="4">
        <v>1</v>
      </c>
      <c r="K471" s="4">
        <f t="shared" si="28"/>
        <v>1</v>
      </c>
      <c r="L471" s="4">
        <f t="shared" si="29"/>
        <v>2</v>
      </c>
      <c r="M471" s="4">
        <v>5.9457658230551527</v>
      </c>
      <c r="N471" s="4">
        <v>156.8550815564619</v>
      </c>
      <c r="O471" s="4">
        <v>339.85350974787133</v>
      </c>
      <c r="X471" s="22">
        <f t="shared" si="30"/>
        <v>309.85753558891145</v>
      </c>
      <c r="Y471" s="2">
        <f t="shared" si="31"/>
        <v>899.75846574498905</v>
      </c>
    </row>
    <row r="472" spans="1:25">
      <c r="A472" s="2" t="s">
        <v>11</v>
      </c>
      <c r="B472" s="2" t="s">
        <v>13</v>
      </c>
      <c r="C472" s="2">
        <v>9.6923994503789803</v>
      </c>
      <c r="D472" s="2">
        <v>109.04624905428641</v>
      </c>
      <c r="E472" s="2">
        <v>257.95337099181421</v>
      </c>
      <c r="J472" s="4">
        <v>1</v>
      </c>
      <c r="K472" s="4">
        <f t="shared" si="28"/>
        <v>7</v>
      </c>
      <c r="L472" s="4">
        <f t="shared" si="29"/>
        <v>2</v>
      </c>
      <c r="M472" s="4">
        <v>9.6923994503789803</v>
      </c>
      <c r="N472" s="4">
        <v>109.04624905428641</v>
      </c>
      <c r="O472" s="4">
        <v>257.95337099181421</v>
      </c>
      <c r="X472" s="22">
        <f t="shared" si="30"/>
        <v>280.70705141669498</v>
      </c>
      <c r="Y472" s="2">
        <f t="shared" si="31"/>
        <v>517.72997287760234</v>
      </c>
    </row>
    <row r="473" spans="1:25">
      <c r="A473" s="2" t="s">
        <v>6</v>
      </c>
      <c r="B473" s="2" t="s">
        <v>14</v>
      </c>
      <c r="C473" s="2">
        <v>4.8924809049711877</v>
      </c>
      <c r="D473" s="2">
        <v>195.4426264230506</v>
      </c>
      <c r="E473" s="2">
        <v>361.24108420534981</v>
      </c>
      <c r="J473" s="4">
        <v>1</v>
      </c>
      <c r="K473" s="4">
        <f t="shared" si="28"/>
        <v>3</v>
      </c>
      <c r="L473" s="4">
        <f t="shared" si="29"/>
        <v>3</v>
      </c>
      <c r="M473" s="4">
        <v>4.8924809049711877</v>
      </c>
      <c r="N473" s="4">
        <v>195.4426264230506</v>
      </c>
      <c r="O473" s="4">
        <v>361.24108420534981</v>
      </c>
      <c r="X473" s="22">
        <f t="shared" si="30"/>
        <v>352.67957266658777</v>
      </c>
      <c r="Y473" s="2">
        <f t="shared" si="31"/>
        <v>73.299479828355445</v>
      </c>
    </row>
    <row r="474" spans="1:25">
      <c r="A474" s="2" t="s">
        <v>7</v>
      </c>
      <c r="B474" s="2" t="s">
        <v>16</v>
      </c>
      <c r="C474" s="2">
        <v>3.8063451977673362</v>
      </c>
      <c r="D474" s="2">
        <v>33.854540804904147</v>
      </c>
      <c r="E474" s="2">
        <v>89.199779000613859</v>
      </c>
      <c r="J474" s="4">
        <v>1</v>
      </c>
      <c r="K474" s="4">
        <f t="shared" si="28"/>
        <v>2</v>
      </c>
      <c r="L474" s="4">
        <f t="shared" si="29"/>
        <v>5</v>
      </c>
      <c r="M474" s="4">
        <v>3.8063451977673362</v>
      </c>
      <c r="N474" s="4">
        <v>33.854540804904147</v>
      </c>
      <c r="O474" s="4">
        <v>89.199779000613859</v>
      </c>
      <c r="X474" s="22">
        <f t="shared" si="30"/>
        <v>99.598025357629368</v>
      </c>
      <c r="Y474" s="2">
        <f t="shared" si="31"/>
        <v>108.1235273011863</v>
      </c>
    </row>
    <row r="475" spans="1:25">
      <c r="A475" s="2" t="s">
        <v>6</v>
      </c>
      <c r="B475" s="2" t="s">
        <v>12</v>
      </c>
      <c r="C475" s="2">
        <v>5.5552767655621969</v>
      </c>
      <c r="D475" s="2">
        <v>13.220056329020389</v>
      </c>
      <c r="E475" s="2">
        <v>88.34047980802228</v>
      </c>
      <c r="J475" s="4">
        <v>1</v>
      </c>
      <c r="K475" s="4">
        <f t="shared" si="28"/>
        <v>3</v>
      </c>
      <c r="L475" s="4">
        <f t="shared" si="29"/>
        <v>1</v>
      </c>
      <c r="M475" s="4">
        <v>5.5552767655621969</v>
      </c>
      <c r="N475" s="4">
        <v>13.220056329020389</v>
      </c>
      <c r="O475" s="4">
        <v>88.34047980802228</v>
      </c>
      <c r="X475" s="22">
        <f t="shared" si="30"/>
        <v>90.32025712683118</v>
      </c>
      <c r="Y475" s="2">
        <f t="shared" si="31"/>
        <v>3.9195182320701556</v>
      </c>
    </row>
    <row r="476" spans="1:25">
      <c r="A476" s="2" t="s">
        <v>11</v>
      </c>
      <c r="B476" s="2" t="s">
        <v>13</v>
      </c>
      <c r="C476" s="2">
        <v>4.9556051976961912</v>
      </c>
      <c r="D476" s="2">
        <v>156.3300602338482</v>
      </c>
      <c r="E476" s="2">
        <v>350.3916756544196</v>
      </c>
      <c r="J476" s="4">
        <v>1</v>
      </c>
      <c r="K476" s="4">
        <f t="shared" si="28"/>
        <v>7</v>
      </c>
      <c r="L476" s="4">
        <f t="shared" si="29"/>
        <v>2</v>
      </c>
      <c r="M476" s="4">
        <v>4.9556051976961912</v>
      </c>
      <c r="N476" s="4">
        <v>156.3300602338482</v>
      </c>
      <c r="O476" s="4">
        <v>350.3916756544196</v>
      </c>
      <c r="X476" s="22">
        <f t="shared" si="30"/>
        <v>292.64516060531099</v>
      </c>
      <c r="Y476" s="2">
        <f t="shared" si="31"/>
        <v>3334.6600003169269</v>
      </c>
    </row>
    <row r="477" spans="1:25">
      <c r="A477" s="2" t="s">
        <v>10</v>
      </c>
      <c r="B477" s="2" t="s">
        <v>17</v>
      </c>
      <c r="C477" s="2">
        <v>1.950982158355695</v>
      </c>
      <c r="D477" s="2">
        <v>163.35955209932769</v>
      </c>
      <c r="E477" s="2">
        <v>297.53878653134149</v>
      </c>
      <c r="J477" s="4">
        <v>1</v>
      </c>
      <c r="K477" s="4">
        <f t="shared" si="28"/>
        <v>6</v>
      </c>
      <c r="L477" s="4">
        <f t="shared" si="29"/>
        <v>6</v>
      </c>
      <c r="M477" s="4">
        <v>1.950982158355695</v>
      </c>
      <c r="N477" s="4">
        <v>163.35955209932769</v>
      </c>
      <c r="O477" s="4">
        <v>297.53878653134149</v>
      </c>
      <c r="X477" s="22">
        <f t="shared" si="30"/>
        <v>266.2417813835242</v>
      </c>
      <c r="Y477" s="2">
        <f t="shared" si="31"/>
        <v>979.50253122250183</v>
      </c>
    </row>
    <row r="478" spans="1:25">
      <c r="A478" s="2" t="s">
        <v>10</v>
      </c>
      <c r="B478" s="2" t="s">
        <v>17</v>
      </c>
      <c r="C478" s="2">
        <v>6.7674368322118559</v>
      </c>
      <c r="D478" s="2">
        <v>32.839373532909491</v>
      </c>
      <c r="E478" s="2">
        <v>160.80175413697279</v>
      </c>
      <c r="J478" s="4">
        <v>1</v>
      </c>
      <c r="K478" s="4">
        <f t="shared" si="28"/>
        <v>6</v>
      </c>
      <c r="L478" s="4">
        <f t="shared" si="29"/>
        <v>6</v>
      </c>
      <c r="M478" s="4">
        <v>6.7674368322118559</v>
      </c>
      <c r="N478" s="4">
        <v>32.839373532909491</v>
      </c>
      <c r="O478" s="4">
        <v>160.80175413697279</v>
      </c>
      <c r="X478" s="22">
        <f t="shared" si="30"/>
        <v>131.58772812487859</v>
      </c>
      <c r="Y478" s="2">
        <f t="shared" si="31"/>
        <v>853.45931583531626</v>
      </c>
    </row>
    <row r="479" spans="1:25">
      <c r="A479" s="2" t="s">
        <v>6</v>
      </c>
      <c r="B479" s="2" t="s">
        <v>13</v>
      </c>
      <c r="C479" s="2">
        <v>2.944343642586396</v>
      </c>
      <c r="D479" s="2">
        <v>60.460738262135152</v>
      </c>
      <c r="E479" s="2">
        <v>97.226478913966204</v>
      </c>
      <c r="J479" s="4">
        <v>1</v>
      </c>
      <c r="K479" s="4">
        <f t="shared" si="28"/>
        <v>3</v>
      </c>
      <c r="L479" s="4">
        <f t="shared" si="29"/>
        <v>2</v>
      </c>
      <c r="M479" s="4">
        <v>2.944343642586396</v>
      </c>
      <c r="N479" s="4">
        <v>60.460738262135152</v>
      </c>
      <c r="O479" s="4">
        <v>97.226478913966204</v>
      </c>
      <c r="X479" s="22">
        <f t="shared" si="30"/>
        <v>128.23343583214719</v>
      </c>
      <c r="Y479" s="2">
        <f t="shared" si="31"/>
        <v>961.43137732593198</v>
      </c>
    </row>
    <row r="480" spans="1:25">
      <c r="A480" s="2" t="s">
        <v>8</v>
      </c>
      <c r="B480" s="2" t="s">
        <v>16</v>
      </c>
      <c r="C480" s="2">
        <v>6.576291594080466</v>
      </c>
      <c r="D480" s="2">
        <v>13.33494903965949</v>
      </c>
      <c r="E480" s="2">
        <v>143.5344328213767</v>
      </c>
      <c r="J480" s="4">
        <v>1</v>
      </c>
      <c r="K480" s="4">
        <f t="shared" si="28"/>
        <v>4</v>
      </c>
      <c r="L480" s="4">
        <f t="shared" si="29"/>
        <v>5</v>
      </c>
      <c r="M480" s="4">
        <v>6.576291594080466</v>
      </c>
      <c r="N480" s="4">
        <v>13.33494903965949</v>
      </c>
      <c r="O480" s="4">
        <v>143.5344328213767</v>
      </c>
      <c r="X480" s="22">
        <f t="shared" si="30"/>
        <v>101.80076176846154</v>
      </c>
      <c r="Y480" s="2">
        <f t="shared" si="31"/>
        <v>1741.6992995529283</v>
      </c>
    </row>
    <row r="481" spans="1:25">
      <c r="A481" s="2" t="s">
        <v>5</v>
      </c>
      <c r="B481" s="2" t="s">
        <v>16</v>
      </c>
      <c r="C481" s="2">
        <v>6.8518098315833802</v>
      </c>
      <c r="D481" s="2">
        <v>65.728636048307294</v>
      </c>
      <c r="E481" s="2">
        <v>205.26743001317979</v>
      </c>
      <c r="J481" s="4">
        <v>1</v>
      </c>
      <c r="K481" s="4">
        <f t="shared" si="28"/>
        <v>1</v>
      </c>
      <c r="L481" s="4">
        <f t="shared" si="29"/>
        <v>5</v>
      </c>
      <c r="M481" s="4">
        <v>6.8518098315833802</v>
      </c>
      <c r="N481" s="4">
        <v>65.728636048307294</v>
      </c>
      <c r="O481" s="4">
        <v>205.26743001317979</v>
      </c>
      <c r="X481" s="22">
        <f t="shared" si="30"/>
        <v>185.17493579779256</v>
      </c>
      <c r="Y481" s="2">
        <f t="shared" si="31"/>
        <v>403.70832379536944</v>
      </c>
    </row>
    <row r="482" spans="1:25">
      <c r="A482" s="2" t="s">
        <v>5</v>
      </c>
      <c r="B482" s="2" t="s">
        <v>15</v>
      </c>
      <c r="C482" s="2">
        <v>2.368223678157833</v>
      </c>
      <c r="D482" s="2">
        <v>156.89695604454761</v>
      </c>
      <c r="E482" s="2">
        <v>216.19334551153699</v>
      </c>
      <c r="J482" s="4">
        <v>1</v>
      </c>
      <c r="K482" s="4">
        <f t="shared" si="28"/>
        <v>1</v>
      </c>
      <c r="L482" s="4">
        <f t="shared" si="29"/>
        <v>4</v>
      </c>
      <c r="M482" s="4">
        <v>2.368223678157833</v>
      </c>
      <c r="N482" s="4">
        <v>156.89695604454761</v>
      </c>
      <c r="O482" s="4">
        <v>216.19334551153699</v>
      </c>
      <c r="X482" s="22">
        <f t="shared" si="30"/>
        <v>265.58671091025229</v>
      </c>
      <c r="Y482" s="2">
        <f t="shared" si="31"/>
        <v>2439.7045454110062</v>
      </c>
    </row>
    <row r="483" spans="1:25">
      <c r="A483" s="2" t="s">
        <v>6</v>
      </c>
      <c r="B483" s="2" t="s">
        <v>17</v>
      </c>
      <c r="C483" s="2">
        <v>1.552146643996013</v>
      </c>
      <c r="D483" s="2">
        <v>108.41250026538999</v>
      </c>
      <c r="E483" s="2">
        <v>192.4406897704024</v>
      </c>
      <c r="J483" s="4">
        <v>1</v>
      </c>
      <c r="K483" s="4">
        <f t="shared" si="28"/>
        <v>3</v>
      </c>
      <c r="L483" s="4">
        <f t="shared" si="29"/>
        <v>6</v>
      </c>
      <c r="M483" s="4">
        <v>1.552146643996013</v>
      </c>
      <c r="N483" s="4">
        <v>108.41250026538999</v>
      </c>
      <c r="O483" s="4">
        <v>192.4406897704024</v>
      </c>
      <c r="X483" s="22">
        <f t="shared" si="30"/>
        <v>181.79359164171566</v>
      </c>
      <c r="Y483" s="2">
        <f t="shared" si="31"/>
        <v>113.36069856188459</v>
      </c>
    </row>
    <row r="484" spans="1:25">
      <c r="A484" s="2" t="s">
        <v>9</v>
      </c>
      <c r="B484" s="2" t="s">
        <v>15</v>
      </c>
      <c r="C484" s="2">
        <v>8.0268542746159586</v>
      </c>
      <c r="D484" s="2">
        <v>76.138162701974736</v>
      </c>
      <c r="E484" s="2">
        <v>205.02963957090989</v>
      </c>
      <c r="J484" s="4">
        <v>1</v>
      </c>
      <c r="K484" s="4">
        <f t="shared" si="28"/>
        <v>5</v>
      </c>
      <c r="L484" s="4">
        <f t="shared" si="29"/>
        <v>4</v>
      </c>
      <c r="M484" s="4">
        <v>8.0268542746159586</v>
      </c>
      <c r="N484" s="4">
        <v>76.138162701974736</v>
      </c>
      <c r="O484" s="4">
        <v>205.02963957090989</v>
      </c>
      <c r="X484" s="22">
        <f t="shared" si="30"/>
        <v>212.42735362206099</v>
      </c>
      <c r="Y484" s="2">
        <f t="shared" si="31"/>
        <v>54.726173182598394</v>
      </c>
    </row>
    <row r="485" spans="1:25">
      <c r="A485" s="2" t="s">
        <v>9</v>
      </c>
      <c r="B485" s="2" t="s">
        <v>17</v>
      </c>
      <c r="C485" s="2">
        <v>5.1382038139238819</v>
      </c>
      <c r="D485" s="2">
        <v>80.630466032202747</v>
      </c>
      <c r="E485" s="2">
        <v>204.90315140459879</v>
      </c>
      <c r="J485" s="4">
        <v>1</v>
      </c>
      <c r="K485" s="4">
        <f t="shared" si="28"/>
        <v>5</v>
      </c>
      <c r="L485" s="4">
        <f t="shared" si="29"/>
        <v>6</v>
      </c>
      <c r="M485" s="4">
        <v>5.1382038139238819</v>
      </c>
      <c r="N485" s="4">
        <v>80.630466032202747</v>
      </c>
      <c r="O485" s="4">
        <v>204.90315140459879</v>
      </c>
      <c r="X485" s="22">
        <f t="shared" si="30"/>
        <v>183.25344798583433</v>
      </c>
      <c r="Y485" s="2">
        <f t="shared" si="31"/>
        <v>468.70965812046154</v>
      </c>
    </row>
    <row r="486" spans="1:25">
      <c r="A486" s="2" t="s">
        <v>5</v>
      </c>
      <c r="B486" s="2" t="s">
        <v>12</v>
      </c>
      <c r="C486" s="2">
        <v>1.523474159549282</v>
      </c>
      <c r="D486" s="2">
        <v>10.25718888593895</v>
      </c>
      <c r="E486" s="2">
        <v>41.892434577990699</v>
      </c>
      <c r="J486" s="4">
        <v>1</v>
      </c>
      <c r="K486" s="4">
        <f t="shared" si="28"/>
        <v>1</v>
      </c>
      <c r="L486" s="4">
        <f t="shared" si="29"/>
        <v>1</v>
      </c>
      <c r="M486" s="4">
        <v>1.523474159549282</v>
      </c>
      <c r="N486" s="4">
        <v>10.25718888593895</v>
      </c>
      <c r="O486" s="4">
        <v>41.892434577990699</v>
      </c>
      <c r="X486" s="22">
        <f t="shared" si="30"/>
        <v>37.681634996780751</v>
      </c>
      <c r="Y486" s="2">
        <f t="shared" si="31"/>
        <v>17.730833113117868</v>
      </c>
    </row>
    <row r="487" spans="1:25">
      <c r="A487" s="2" t="s">
        <v>5</v>
      </c>
      <c r="B487" s="2" t="s">
        <v>12</v>
      </c>
      <c r="C487" s="2">
        <v>9.953796854527905</v>
      </c>
      <c r="D487" s="2">
        <v>66.962100237394822</v>
      </c>
      <c r="E487" s="2">
        <v>178.84761812326201</v>
      </c>
      <c r="J487" s="4">
        <v>1</v>
      </c>
      <c r="K487" s="4">
        <f t="shared" si="28"/>
        <v>1</v>
      </c>
      <c r="L487" s="4">
        <f t="shared" si="29"/>
        <v>1</v>
      </c>
      <c r="M487" s="4">
        <v>9.953796854527905</v>
      </c>
      <c r="N487" s="4">
        <v>66.962100237394822</v>
      </c>
      <c r="O487" s="4">
        <v>178.84761812326201</v>
      </c>
      <c r="X487" s="22">
        <f t="shared" si="30"/>
        <v>225.7633035863019</v>
      </c>
      <c r="Y487" s="2">
        <f t="shared" si="31"/>
        <v>2201.0815424668926</v>
      </c>
    </row>
    <row r="488" spans="1:25">
      <c r="A488" s="2" t="s">
        <v>10</v>
      </c>
      <c r="B488" s="2" t="s">
        <v>14</v>
      </c>
      <c r="C488" s="2">
        <v>1.5200250489673</v>
      </c>
      <c r="D488" s="2">
        <v>132.82716091120679</v>
      </c>
      <c r="E488" s="2">
        <v>230.41679379541341</v>
      </c>
      <c r="J488" s="4">
        <v>1</v>
      </c>
      <c r="K488" s="4">
        <f t="shared" si="28"/>
        <v>6</v>
      </c>
      <c r="L488" s="4">
        <f t="shared" si="29"/>
        <v>3</v>
      </c>
      <c r="M488" s="4">
        <v>1.5200250489673</v>
      </c>
      <c r="N488" s="4">
        <v>132.82716091120679</v>
      </c>
      <c r="O488" s="4">
        <v>230.41679379541341</v>
      </c>
      <c r="X488" s="22">
        <f t="shared" si="30"/>
        <v>215.97848576499098</v>
      </c>
      <c r="Y488" s="2">
        <f t="shared" si="31"/>
        <v>208.46473878136092</v>
      </c>
    </row>
    <row r="489" spans="1:25">
      <c r="A489" s="2" t="s">
        <v>8</v>
      </c>
      <c r="B489" s="2" t="s">
        <v>15</v>
      </c>
      <c r="C489" s="2">
        <v>7.2553170597269787</v>
      </c>
      <c r="D489" s="2">
        <v>195.09694432510781</v>
      </c>
      <c r="E489" s="2">
        <v>385.60303437714788</v>
      </c>
      <c r="J489" s="4">
        <v>1</v>
      </c>
      <c r="K489" s="4">
        <f t="shared" si="28"/>
        <v>4</v>
      </c>
      <c r="L489" s="4">
        <f t="shared" si="29"/>
        <v>4</v>
      </c>
      <c r="M489" s="4">
        <v>7.2553170597269787</v>
      </c>
      <c r="N489" s="4">
        <v>195.09694432510781</v>
      </c>
      <c r="O489" s="4">
        <v>385.60303437714788</v>
      </c>
      <c r="X489" s="22">
        <f t="shared" si="30"/>
        <v>380.41667350085788</v>
      </c>
      <c r="Y489" s="2">
        <f t="shared" si="31"/>
        <v>26.898339139111531</v>
      </c>
    </row>
    <row r="490" spans="1:25">
      <c r="A490" s="2" t="s">
        <v>11</v>
      </c>
      <c r="B490" s="2" t="s">
        <v>13</v>
      </c>
      <c r="C490" s="2">
        <v>9.8531103273707217</v>
      </c>
      <c r="D490" s="2">
        <v>170.94155712694089</v>
      </c>
      <c r="E490" s="2">
        <v>364.22892575223659</v>
      </c>
      <c r="J490" s="4">
        <v>1</v>
      </c>
      <c r="K490" s="4">
        <f t="shared" si="28"/>
        <v>7</v>
      </c>
      <c r="L490" s="4">
        <f t="shared" si="29"/>
        <v>2</v>
      </c>
      <c r="M490" s="4">
        <v>9.8531103273707217</v>
      </c>
      <c r="N490" s="4">
        <v>170.94155712694089</v>
      </c>
      <c r="O490" s="4">
        <v>364.22892575223659</v>
      </c>
      <c r="X490" s="22">
        <f t="shared" si="30"/>
        <v>374.66820564811684</v>
      </c>
      <c r="Y490" s="2">
        <f t="shared" si="31"/>
        <v>108.97856474452951</v>
      </c>
    </row>
    <row r="491" spans="1:25">
      <c r="A491" s="2" t="s">
        <v>9</v>
      </c>
      <c r="B491" s="2" t="s">
        <v>15</v>
      </c>
      <c r="C491" s="2">
        <v>3.1526209379433312</v>
      </c>
      <c r="D491" s="2">
        <v>14.483043282650531</v>
      </c>
      <c r="E491" s="2">
        <v>95.497631292187336</v>
      </c>
      <c r="J491" s="4">
        <v>1</v>
      </c>
      <c r="K491" s="4">
        <f t="shared" si="28"/>
        <v>5</v>
      </c>
      <c r="L491" s="4">
        <f t="shared" si="29"/>
        <v>4</v>
      </c>
      <c r="M491" s="4">
        <v>3.1526209379433312</v>
      </c>
      <c r="N491" s="4">
        <v>14.483043282650531</v>
      </c>
      <c r="O491" s="4">
        <v>95.497631292187336</v>
      </c>
      <c r="X491" s="22">
        <f t="shared" si="30"/>
        <v>60.779731010314336</v>
      </c>
      <c r="Y491" s="2">
        <f t="shared" si="31"/>
        <v>1205.3325999820772</v>
      </c>
    </row>
    <row r="492" spans="1:25">
      <c r="A492" s="2" t="s">
        <v>5</v>
      </c>
      <c r="B492" s="2" t="s">
        <v>13</v>
      </c>
      <c r="C492" s="2">
        <v>2.2802443181847649</v>
      </c>
      <c r="D492" s="2">
        <v>180.7265148882195</v>
      </c>
      <c r="E492" s="2">
        <v>271.44260121359059</v>
      </c>
      <c r="J492" s="4">
        <v>1</v>
      </c>
      <c r="K492" s="4">
        <f t="shared" si="28"/>
        <v>1</v>
      </c>
      <c r="L492" s="4">
        <f t="shared" si="29"/>
        <v>2</v>
      </c>
      <c r="M492" s="4">
        <v>2.2802443181847649</v>
      </c>
      <c r="N492" s="4">
        <v>180.7265148882195</v>
      </c>
      <c r="O492" s="4">
        <v>271.44260121359059</v>
      </c>
      <c r="X492" s="22">
        <f t="shared" si="30"/>
        <v>300.1945985260856</v>
      </c>
      <c r="Y492" s="2">
        <f t="shared" si="31"/>
        <v>826.67734945772008</v>
      </c>
    </row>
    <row r="493" spans="1:25">
      <c r="A493" s="2" t="s">
        <v>10</v>
      </c>
      <c r="B493" s="2" t="s">
        <v>16</v>
      </c>
      <c r="C493" s="2">
        <v>2.0924644548018598</v>
      </c>
      <c r="D493" s="2">
        <v>158.8076985267389</v>
      </c>
      <c r="E493" s="2">
        <v>298.9451327513184</v>
      </c>
      <c r="J493" s="4">
        <v>1</v>
      </c>
      <c r="K493" s="4">
        <f t="shared" si="28"/>
        <v>6</v>
      </c>
      <c r="L493" s="4">
        <f t="shared" si="29"/>
        <v>5</v>
      </c>
      <c r="M493" s="4">
        <v>2.0924644548018598</v>
      </c>
      <c r="N493" s="4">
        <v>158.8076985267389</v>
      </c>
      <c r="O493" s="4">
        <v>298.9451327513184</v>
      </c>
      <c r="X493" s="22">
        <f t="shared" si="30"/>
        <v>261.35873838434571</v>
      </c>
      <c r="Y493" s="2">
        <f t="shared" si="31"/>
        <v>1412.7370415095959</v>
      </c>
    </row>
    <row r="494" spans="1:25">
      <c r="A494" s="2" t="s">
        <v>7</v>
      </c>
      <c r="B494" s="2" t="s">
        <v>15</v>
      </c>
      <c r="C494" s="2">
        <v>3.7294763281083601</v>
      </c>
      <c r="D494" s="2">
        <v>158.27146347848631</v>
      </c>
      <c r="E494" s="2">
        <v>304.72046939738033</v>
      </c>
      <c r="J494" s="4">
        <v>1</v>
      </c>
      <c r="K494" s="4">
        <f t="shared" si="28"/>
        <v>2</v>
      </c>
      <c r="L494" s="4">
        <f t="shared" si="29"/>
        <v>4</v>
      </c>
      <c r="M494" s="4">
        <v>3.7294763281083601</v>
      </c>
      <c r="N494" s="4">
        <v>158.27146347848631</v>
      </c>
      <c r="O494" s="4">
        <v>304.72046939738033</v>
      </c>
      <c r="X494" s="22">
        <f t="shared" si="30"/>
        <v>283.68562404262326</v>
      </c>
      <c r="Y494" s="2">
        <f t="shared" si="31"/>
        <v>442.46471909854495</v>
      </c>
    </row>
    <row r="495" spans="1:25">
      <c r="A495" s="2" t="s">
        <v>10</v>
      </c>
      <c r="B495" s="2" t="s">
        <v>16</v>
      </c>
      <c r="C495" s="2">
        <v>1.90941229909582</v>
      </c>
      <c r="D495" s="2">
        <v>97.019194210678577</v>
      </c>
      <c r="E495" s="2">
        <v>155.49080502065971</v>
      </c>
      <c r="J495" s="4">
        <v>1</v>
      </c>
      <c r="K495" s="4">
        <f t="shared" si="28"/>
        <v>6</v>
      </c>
      <c r="L495" s="4">
        <f t="shared" si="29"/>
        <v>5</v>
      </c>
      <c r="M495" s="4">
        <v>1.90941229909582</v>
      </c>
      <c r="N495" s="4">
        <v>97.019194210678577</v>
      </c>
      <c r="O495" s="4">
        <v>155.49080502065971</v>
      </c>
      <c r="X495" s="22">
        <f t="shared" si="30"/>
        <v>167.28118866547547</v>
      </c>
      <c r="Y495" s="2">
        <f t="shared" si="31"/>
        <v>139.01314649193901</v>
      </c>
    </row>
    <row r="496" spans="1:25">
      <c r="A496" s="2" t="s">
        <v>9</v>
      </c>
      <c r="B496" s="2" t="s">
        <v>12</v>
      </c>
      <c r="C496" s="2">
        <v>7.2294520752471874</v>
      </c>
      <c r="D496" s="2">
        <v>85.621005661355539</v>
      </c>
      <c r="E496" s="2">
        <v>176.12000722560811</v>
      </c>
      <c r="J496" s="4">
        <v>1</v>
      </c>
      <c r="K496" s="4">
        <f t="shared" si="28"/>
        <v>5</v>
      </c>
      <c r="L496" s="4">
        <f t="shared" si="29"/>
        <v>1</v>
      </c>
      <c r="M496" s="4">
        <v>7.2294520752471874</v>
      </c>
      <c r="N496" s="4">
        <v>85.621005661355539</v>
      </c>
      <c r="O496" s="4">
        <v>176.12000722560811</v>
      </c>
      <c r="X496" s="22">
        <f t="shared" si="30"/>
        <v>217.11788799812444</v>
      </c>
      <c r="Y496" s="2">
        <f t="shared" si="31"/>
        <v>1680.826227837465</v>
      </c>
    </row>
    <row r="497" spans="1:25">
      <c r="A497" s="2" t="s">
        <v>9</v>
      </c>
      <c r="B497" s="2" t="s">
        <v>12</v>
      </c>
      <c r="C497" s="2">
        <v>1.5606261831705639</v>
      </c>
      <c r="D497" s="2">
        <v>67.553988478306593</v>
      </c>
      <c r="E497" s="2">
        <v>112.95248644144129</v>
      </c>
      <c r="J497" s="4">
        <v>1</v>
      </c>
      <c r="K497" s="4">
        <f t="shared" si="28"/>
        <v>5</v>
      </c>
      <c r="L497" s="4">
        <f t="shared" si="29"/>
        <v>1</v>
      </c>
      <c r="M497" s="4">
        <v>1.5606261831705639</v>
      </c>
      <c r="N497" s="4">
        <v>67.553988478306593</v>
      </c>
      <c r="O497" s="4">
        <v>112.95248644144129</v>
      </c>
      <c r="X497" s="22">
        <f t="shared" si="30"/>
        <v>120.46139874639829</v>
      </c>
      <c r="Y497" s="2">
        <f t="shared" si="31"/>
        <v>56.383764003534552</v>
      </c>
    </row>
    <row r="498" spans="1:25">
      <c r="A498" s="2" t="s">
        <v>10</v>
      </c>
      <c r="B498" s="2" t="s">
        <v>14</v>
      </c>
      <c r="C498" s="2">
        <v>5.5847991533481078</v>
      </c>
      <c r="D498" s="2">
        <v>22.4820232013295</v>
      </c>
      <c r="E498" s="2">
        <v>136.53361186196341</v>
      </c>
      <c r="J498" s="4">
        <v>1</v>
      </c>
      <c r="K498" s="4">
        <f t="shared" si="28"/>
        <v>6</v>
      </c>
      <c r="L498" s="4">
        <f t="shared" si="29"/>
        <v>3</v>
      </c>
      <c r="M498" s="4">
        <v>5.5847991533481078</v>
      </c>
      <c r="N498" s="4">
        <v>22.4820232013295</v>
      </c>
      <c r="O498" s="4">
        <v>136.53361186196341</v>
      </c>
      <c r="X498" s="22">
        <f t="shared" si="30"/>
        <v>102.05003044796177</v>
      </c>
      <c r="Y498" s="2">
        <f t="shared" si="31"/>
        <v>1189.1173871360788</v>
      </c>
    </row>
    <row r="499" spans="1:25">
      <c r="A499" s="2" t="s">
        <v>11</v>
      </c>
      <c r="B499" s="2" t="s">
        <v>15</v>
      </c>
      <c r="C499" s="2">
        <v>9.970271684676792</v>
      </c>
      <c r="D499" s="2">
        <v>53.364719063802831</v>
      </c>
      <c r="E499" s="2">
        <v>249.45093647709339</v>
      </c>
      <c r="J499" s="4">
        <v>1</v>
      </c>
      <c r="K499" s="4">
        <f t="shared" si="28"/>
        <v>7</v>
      </c>
      <c r="L499" s="4">
        <f t="shared" si="29"/>
        <v>4</v>
      </c>
      <c r="M499" s="4">
        <v>9.970271684676792</v>
      </c>
      <c r="N499" s="4">
        <v>53.364719063802831</v>
      </c>
      <c r="O499" s="4">
        <v>249.45093647709339</v>
      </c>
      <c r="X499" s="22">
        <f t="shared" si="30"/>
        <v>201.10258876740272</v>
      </c>
      <c r="Y499" s="2">
        <f t="shared" si="31"/>
        <v>2337.5627262571511</v>
      </c>
    </row>
    <row r="500" spans="1:25">
      <c r="A500" s="2" t="s">
        <v>6</v>
      </c>
      <c r="B500" s="2" t="s">
        <v>16</v>
      </c>
      <c r="C500" s="2">
        <v>8.3257324255541683</v>
      </c>
      <c r="D500" s="2">
        <v>56.854690645824682</v>
      </c>
      <c r="E500" s="2">
        <v>194.95058979216441</v>
      </c>
      <c r="J500" s="4">
        <v>1</v>
      </c>
      <c r="K500" s="4">
        <f t="shared" si="28"/>
        <v>3</v>
      </c>
      <c r="L500" s="4">
        <f t="shared" si="29"/>
        <v>5</v>
      </c>
      <c r="M500" s="4">
        <v>8.3257324255541683</v>
      </c>
      <c r="N500" s="4">
        <v>56.854690645824682</v>
      </c>
      <c r="O500" s="4">
        <v>194.95058979216441</v>
      </c>
      <c r="X500" s="22">
        <f t="shared" si="30"/>
        <v>188.72463603736236</v>
      </c>
      <c r="Y500" s="2">
        <f t="shared" si="31"/>
        <v>38.762500156933733</v>
      </c>
    </row>
    <row r="501" spans="1:25">
      <c r="A501" s="2" t="s">
        <v>9</v>
      </c>
      <c r="B501" s="2" t="s">
        <v>13</v>
      </c>
      <c r="C501" s="2">
        <v>6.5369749440790983</v>
      </c>
      <c r="D501" s="2">
        <v>101.97464324493831</v>
      </c>
      <c r="E501" s="2">
        <v>204.8568303790052</v>
      </c>
      <c r="J501" s="4">
        <v>1</v>
      </c>
      <c r="K501" s="4">
        <f t="shared" si="28"/>
        <v>5</v>
      </c>
      <c r="L501" s="4">
        <f t="shared" si="29"/>
        <v>2</v>
      </c>
      <c r="M501" s="4">
        <v>6.5369749440790983</v>
      </c>
      <c r="N501" s="4">
        <v>101.97464324493831</v>
      </c>
      <c r="O501" s="4">
        <v>204.8568303790052</v>
      </c>
      <c r="X501" s="22">
        <f t="shared" si="30"/>
        <v>232.75438956347628</v>
      </c>
      <c r="Y501" s="2">
        <f t="shared" si="31"/>
        <v>778.27380845106654</v>
      </c>
    </row>
    <row r="502" spans="1:25">
      <c r="A502" s="2" t="s">
        <v>10</v>
      </c>
      <c r="B502" s="2" t="s">
        <v>12</v>
      </c>
      <c r="C502" s="2">
        <v>3.7562825870795051</v>
      </c>
      <c r="D502" s="2">
        <v>152.01443725337191</v>
      </c>
      <c r="E502" s="2">
        <v>233.71249589588379</v>
      </c>
      <c r="J502" s="4">
        <v>1</v>
      </c>
      <c r="K502" s="4">
        <f t="shared" si="28"/>
        <v>6</v>
      </c>
      <c r="L502" s="4">
        <f t="shared" si="29"/>
        <v>1</v>
      </c>
      <c r="M502" s="4">
        <v>3.7562825870795051</v>
      </c>
      <c r="N502" s="4">
        <v>152.01443725337191</v>
      </c>
      <c r="O502" s="4">
        <v>233.71249589588379</v>
      </c>
      <c r="X502" s="22">
        <f t="shared" si="30"/>
        <v>272.30870765122444</v>
      </c>
      <c r="Y502" s="2">
        <f t="shared" si="31"/>
        <v>1489.6675618630957</v>
      </c>
    </row>
    <row r="503" spans="1:25">
      <c r="A503" s="2" t="s">
        <v>5</v>
      </c>
      <c r="B503" s="2" t="s">
        <v>12</v>
      </c>
      <c r="C503" s="2">
        <v>6.6150625266247456</v>
      </c>
      <c r="D503" s="2">
        <v>100.0238673956099</v>
      </c>
      <c r="E503" s="2">
        <v>223.91173385290091</v>
      </c>
      <c r="J503" s="4">
        <v>1</v>
      </c>
      <c r="K503" s="4">
        <f t="shared" si="28"/>
        <v>1</v>
      </c>
      <c r="L503" s="4">
        <f t="shared" si="29"/>
        <v>1</v>
      </c>
      <c r="M503" s="4">
        <v>6.6150625266247456</v>
      </c>
      <c r="N503" s="4">
        <v>100.0238673956099</v>
      </c>
      <c r="O503" s="4">
        <v>223.91173385290091</v>
      </c>
      <c r="X503" s="22">
        <f t="shared" si="30"/>
        <v>233.7821814771516</v>
      </c>
      <c r="Y503" s="2">
        <f t="shared" si="31"/>
        <v>97.425736303076036</v>
      </c>
    </row>
    <row r="504" spans="1:25">
      <c r="A504" s="2" t="s">
        <v>10</v>
      </c>
      <c r="B504" s="2" t="s">
        <v>13</v>
      </c>
      <c r="C504" s="2">
        <v>5.7433731752048649</v>
      </c>
      <c r="D504" s="2">
        <v>20.990445394960521</v>
      </c>
      <c r="E504" s="2">
        <v>117.95483978002579</v>
      </c>
      <c r="J504" s="4">
        <v>1</v>
      </c>
      <c r="K504" s="4">
        <f t="shared" si="28"/>
        <v>6</v>
      </c>
      <c r="L504" s="4">
        <f t="shared" si="29"/>
        <v>2</v>
      </c>
      <c r="M504" s="4">
        <v>5.7433731752048649</v>
      </c>
      <c r="N504" s="4">
        <v>20.990445394960521</v>
      </c>
      <c r="O504" s="4">
        <v>117.95483978002579</v>
      </c>
      <c r="X504" s="22">
        <f t="shared" si="30"/>
        <v>101.92531030963426</v>
      </c>
      <c r="Y504" s="2">
        <f t="shared" si="31"/>
        <v>256.9458150421508</v>
      </c>
    </row>
    <row r="505" spans="1:25">
      <c r="A505" s="2" t="s">
        <v>8</v>
      </c>
      <c r="B505" s="2" t="s">
        <v>16</v>
      </c>
      <c r="C505" s="2">
        <v>4.8347504550133431</v>
      </c>
      <c r="D505" s="2">
        <v>191.9800621877587</v>
      </c>
      <c r="E505" s="2">
        <v>373.70176007215088</v>
      </c>
      <c r="J505" s="4">
        <v>1</v>
      </c>
      <c r="K505" s="4">
        <f t="shared" si="28"/>
        <v>4</v>
      </c>
      <c r="L505" s="4">
        <f t="shared" si="29"/>
        <v>5</v>
      </c>
      <c r="M505" s="4">
        <v>4.8347504550133431</v>
      </c>
      <c r="N505" s="4">
        <v>191.9800621877587</v>
      </c>
      <c r="O505" s="4">
        <v>373.70176007215088</v>
      </c>
      <c r="X505" s="22">
        <f t="shared" si="30"/>
        <v>345.8380958407879</v>
      </c>
      <c r="Y505" s="2">
        <f t="shared" si="31"/>
        <v>776.38378439813641</v>
      </c>
    </row>
    <row r="506" spans="1:25">
      <c r="A506" s="2" t="s">
        <v>6</v>
      </c>
      <c r="B506" s="2" t="s">
        <v>16</v>
      </c>
      <c r="C506" s="2">
        <v>2.1763933906617949</v>
      </c>
      <c r="D506" s="2">
        <v>189.11762062788131</v>
      </c>
      <c r="E506" s="2">
        <v>299.34927900137978</v>
      </c>
      <c r="J506" s="4">
        <v>1</v>
      </c>
      <c r="K506" s="4">
        <f t="shared" si="28"/>
        <v>3</v>
      </c>
      <c r="L506" s="4">
        <f t="shared" si="29"/>
        <v>5</v>
      </c>
      <c r="M506" s="4">
        <v>2.1763933906617949</v>
      </c>
      <c r="N506" s="4">
        <v>189.11762062788131</v>
      </c>
      <c r="O506" s="4">
        <v>299.34927900137978</v>
      </c>
      <c r="X506" s="22">
        <f t="shared" si="30"/>
        <v>309.55513052466318</v>
      </c>
      <c r="Y506" s="2">
        <f t="shared" si="31"/>
        <v>104.15940531530609</v>
      </c>
    </row>
    <row r="507" spans="1:25">
      <c r="A507" s="2" t="s">
        <v>7</v>
      </c>
      <c r="B507" s="2" t="s">
        <v>15</v>
      </c>
      <c r="C507" s="2">
        <v>8.9794379371641995</v>
      </c>
      <c r="D507" s="2">
        <v>159.1860131981976</v>
      </c>
      <c r="E507" s="2">
        <v>282.48049985127898</v>
      </c>
      <c r="J507" s="4">
        <v>1</v>
      </c>
      <c r="K507" s="4">
        <f t="shared" si="28"/>
        <v>2</v>
      </c>
      <c r="L507" s="4">
        <f t="shared" si="29"/>
        <v>4</v>
      </c>
      <c r="M507" s="4">
        <v>8.9794379371641995</v>
      </c>
      <c r="N507" s="4">
        <v>159.1860131981976</v>
      </c>
      <c r="O507" s="4">
        <v>282.48049985127898</v>
      </c>
      <c r="X507" s="22">
        <f t="shared" si="30"/>
        <v>349.69397623400965</v>
      </c>
      <c r="Y507" s="2">
        <f t="shared" si="31"/>
        <v>4517.6514074518946</v>
      </c>
    </row>
    <row r="508" spans="1:25">
      <c r="A508" s="2" t="s">
        <v>11</v>
      </c>
      <c r="B508" s="2" t="s">
        <v>15</v>
      </c>
      <c r="C508" s="2">
        <v>5.0480618393919023</v>
      </c>
      <c r="D508" s="2">
        <v>198.3523012972019</v>
      </c>
      <c r="E508" s="2">
        <v>380.24520006238282</v>
      </c>
      <c r="J508" s="4">
        <v>1</v>
      </c>
      <c r="K508" s="4">
        <f t="shared" si="28"/>
        <v>7</v>
      </c>
      <c r="L508" s="4">
        <f t="shared" si="29"/>
        <v>4</v>
      </c>
      <c r="M508" s="4">
        <v>5.0480618393919023</v>
      </c>
      <c r="N508" s="4">
        <v>198.3523012972019</v>
      </c>
      <c r="O508" s="4">
        <v>380.24520006238282</v>
      </c>
      <c r="X508" s="22">
        <f t="shared" si="30"/>
        <v>355.95424135178189</v>
      </c>
      <c r="Y508" s="2">
        <f t="shared" si="31"/>
        <v>590.05067508011928</v>
      </c>
    </row>
    <row r="509" spans="1:25">
      <c r="A509" s="2" t="s">
        <v>7</v>
      </c>
      <c r="B509" s="2" t="s">
        <v>17</v>
      </c>
      <c r="C509" s="2">
        <v>2.7516026063868861</v>
      </c>
      <c r="D509" s="2">
        <v>113.45164323205</v>
      </c>
      <c r="E509" s="2">
        <v>200.78408628723579</v>
      </c>
      <c r="J509" s="4">
        <v>1</v>
      </c>
      <c r="K509" s="4">
        <f t="shared" si="28"/>
        <v>2</v>
      </c>
      <c r="L509" s="4">
        <f t="shared" si="29"/>
        <v>6</v>
      </c>
      <c r="M509" s="4">
        <v>2.7516026063868861</v>
      </c>
      <c r="N509" s="4">
        <v>113.45164323205</v>
      </c>
      <c r="O509" s="4">
        <v>200.78408628723579</v>
      </c>
      <c r="X509" s="22">
        <f t="shared" si="30"/>
        <v>204.75911403075523</v>
      </c>
      <c r="Y509" s="2">
        <f t="shared" si="31"/>
        <v>15.800845561749199</v>
      </c>
    </row>
    <row r="510" spans="1:25">
      <c r="A510" s="2" t="s">
        <v>6</v>
      </c>
      <c r="B510" s="2" t="s">
        <v>17</v>
      </c>
      <c r="C510" s="2">
        <v>4.3098341578956063</v>
      </c>
      <c r="D510" s="2">
        <v>192.92598654810919</v>
      </c>
      <c r="E510" s="2">
        <v>377.7044461789306</v>
      </c>
      <c r="J510" s="4">
        <v>1</v>
      </c>
      <c r="K510" s="4">
        <f t="shared" si="28"/>
        <v>3</v>
      </c>
      <c r="L510" s="4">
        <f t="shared" si="29"/>
        <v>6</v>
      </c>
      <c r="M510" s="4">
        <v>4.3098341578956063</v>
      </c>
      <c r="N510" s="4">
        <v>192.92598654810919</v>
      </c>
      <c r="O510" s="4">
        <v>377.7044461789306</v>
      </c>
      <c r="X510" s="22">
        <f t="shared" si="30"/>
        <v>341.34721367559439</v>
      </c>
      <c r="Y510" s="2">
        <f t="shared" si="31"/>
        <v>1321.8483553016467</v>
      </c>
    </row>
    <row r="511" spans="1:25">
      <c r="A511" s="2" t="s">
        <v>6</v>
      </c>
      <c r="B511" s="2" t="s">
        <v>14</v>
      </c>
      <c r="C511" s="2">
        <v>4.7271677727603434</v>
      </c>
      <c r="D511" s="2">
        <v>24.364957717182651</v>
      </c>
      <c r="E511" s="2">
        <v>105.3077390589627</v>
      </c>
      <c r="J511" s="4">
        <v>1</v>
      </c>
      <c r="K511" s="4">
        <f t="shared" si="28"/>
        <v>3</v>
      </c>
      <c r="L511" s="4">
        <f t="shared" si="29"/>
        <v>3</v>
      </c>
      <c r="M511" s="4">
        <v>4.7271677727603434</v>
      </c>
      <c r="N511" s="4">
        <v>24.364957717182651</v>
      </c>
      <c r="O511" s="4">
        <v>105.3077390589627</v>
      </c>
      <c r="X511" s="22">
        <f t="shared" si="30"/>
        <v>96.406710780306526</v>
      </c>
      <c r="Y511" s="2">
        <f t="shared" si="31"/>
        <v>79.228304417436831</v>
      </c>
    </row>
    <row r="512" spans="1:25">
      <c r="A512" s="2" t="s">
        <v>6</v>
      </c>
      <c r="B512" s="2" t="s">
        <v>12</v>
      </c>
      <c r="C512" s="2">
        <v>8.4478410601018687</v>
      </c>
      <c r="D512" s="2">
        <v>79.479342169660555</v>
      </c>
      <c r="E512" s="2">
        <v>273.59715457035543</v>
      </c>
      <c r="J512" s="4">
        <v>1</v>
      </c>
      <c r="K512" s="4">
        <f t="shared" si="28"/>
        <v>3</v>
      </c>
      <c r="L512" s="4">
        <f t="shared" si="29"/>
        <v>1</v>
      </c>
      <c r="M512" s="4">
        <v>8.4478410601018687</v>
      </c>
      <c r="N512" s="4">
        <v>79.479342169660555</v>
      </c>
      <c r="O512" s="4">
        <v>273.59715457035543</v>
      </c>
      <c r="X512" s="22">
        <f t="shared" si="30"/>
        <v>224.40736164428318</v>
      </c>
      <c r="Y512" s="2">
        <f t="shared" si="31"/>
        <v>2419.6357281098667</v>
      </c>
    </row>
    <row r="513" spans="1:25">
      <c r="A513" s="2" t="s">
        <v>7</v>
      </c>
      <c r="B513" s="2" t="s">
        <v>15</v>
      </c>
      <c r="C513" s="2">
        <v>7.6025294250526194</v>
      </c>
      <c r="D513" s="2">
        <v>52.822440921285512</v>
      </c>
      <c r="E513" s="2">
        <v>167.6079926850839</v>
      </c>
      <c r="J513" s="4">
        <v>1</v>
      </c>
      <c r="K513" s="4">
        <f t="shared" si="28"/>
        <v>2</v>
      </c>
      <c r="L513" s="4">
        <f t="shared" si="29"/>
        <v>4</v>
      </c>
      <c r="M513" s="4">
        <v>7.6025294250526194</v>
      </c>
      <c r="N513" s="4">
        <v>52.822440921285512</v>
      </c>
      <c r="O513" s="4">
        <v>167.6079926850839</v>
      </c>
      <c r="X513" s="22">
        <f t="shared" si="30"/>
        <v>174.67234932834941</v>
      </c>
      <c r="Y513" s="2">
        <f t="shared" si="31"/>
        <v>49.905134783249572</v>
      </c>
    </row>
    <row r="514" spans="1:25">
      <c r="A514" s="2" t="s">
        <v>5</v>
      </c>
      <c r="B514" s="2" t="s">
        <v>16</v>
      </c>
      <c r="C514" s="2">
        <v>7.923744042772058</v>
      </c>
      <c r="D514" s="2">
        <v>47.208285985511303</v>
      </c>
      <c r="E514" s="2">
        <v>116.0074211712063</v>
      </c>
      <c r="J514" s="4">
        <v>1</v>
      </c>
      <c r="K514" s="4">
        <f t="shared" si="28"/>
        <v>1</v>
      </c>
      <c r="L514" s="4">
        <f t="shared" si="29"/>
        <v>5</v>
      </c>
      <c r="M514" s="4">
        <v>7.923744042772058</v>
      </c>
      <c r="N514" s="4">
        <v>47.208285985511303</v>
      </c>
      <c r="O514" s="4">
        <v>116.0074211712063</v>
      </c>
      <c r="X514" s="22">
        <f t="shared" si="30"/>
        <v>170.85203839295301</v>
      </c>
      <c r="Y514" s="2">
        <f t="shared" si="31"/>
        <v>3007.932038199915</v>
      </c>
    </row>
    <row r="515" spans="1:25">
      <c r="A515" s="2" t="s">
        <v>6</v>
      </c>
      <c r="B515" s="2" t="s">
        <v>13</v>
      </c>
      <c r="C515" s="2">
        <v>1.0992813798578249</v>
      </c>
      <c r="D515" s="2">
        <v>36.752560289608446</v>
      </c>
      <c r="E515" s="2">
        <v>84.707157367764381</v>
      </c>
      <c r="J515" s="4">
        <v>1</v>
      </c>
      <c r="K515" s="4">
        <f t="shared" si="28"/>
        <v>3</v>
      </c>
      <c r="L515" s="4">
        <f t="shared" si="29"/>
        <v>2</v>
      </c>
      <c r="M515" s="4">
        <v>1.0992813798578249</v>
      </c>
      <c r="N515" s="4">
        <v>36.752560289608446</v>
      </c>
      <c r="O515" s="4">
        <v>84.707157367764381</v>
      </c>
      <c r="X515" s="22">
        <f t="shared" si="30"/>
        <v>70.280376406657936</v>
      </c>
      <c r="Y515" s="2">
        <f t="shared" si="31"/>
        <v>208.1320088997434</v>
      </c>
    </row>
    <row r="516" spans="1:25">
      <c r="A516" s="2" t="s">
        <v>10</v>
      </c>
      <c r="B516" s="2" t="s">
        <v>16</v>
      </c>
      <c r="C516" s="2">
        <v>4.7453859836178536</v>
      </c>
      <c r="D516" s="2">
        <v>128.25859189753939</v>
      </c>
      <c r="E516" s="2">
        <v>190.82500337472041</v>
      </c>
      <c r="J516" s="4">
        <v>1</v>
      </c>
      <c r="K516" s="4">
        <f t="shared" ref="K516:K579" si="32">VLOOKUP(A516, $F$3:$G$9, 2, FALSE)</f>
        <v>6</v>
      </c>
      <c r="L516" s="4">
        <f t="shared" ref="L516:L579" si="33">VLOOKUP(B516, $H$3:$I$8, 2, FALSE)</f>
        <v>5</v>
      </c>
      <c r="M516" s="4">
        <v>4.7453859836178536</v>
      </c>
      <c r="N516" s="4">
        <v>128.25859189753939</v>
      </c>
      <c r="O516" s="4">
        <v>190.82500337472041</v>
      </c>
      <c r="X516" s="22">
        <f t="shared" ref="X516:X579" si="34">$U$16+$U$17*K516+$U$18*L516+$U$19*M516+$U$20*N516</f>
        <v>248.62864707834046</v>
      </c>
      <c r="Y516" s="2">
        <f t="shared" ref="Y516:Y579" si="35">POWER(O516-X516,2)</f>
        <v>3341.2612254150545</v>
      </c>
    </row>
    <row r="517" spans="1:25">
      <c r="A517" s="2" t="s">
        <v>7</v>
      </c>
      <c r="B517" s="2" t="s">
        <v>12</v>
      </c>
      <c r="C517" s="2">
        <v>5.3320973647179128</v>
      </c>
      <c r="D517" s="2">
        <v>158.45115259198789</v>
      </c>
      <c r="E517" s="2">
        <v>238.96969892020411</v>
      </c>
      <c r="J517" s="4">
        <v>1</v>
      </c>
      <c r="K517" s="4">
        <f t="shared" si="32"/>
        <v>2</v>
      </c>
      <c r="L517" s="4">
        <f t="shared" si="33"/>
        <v>1</v>
      </c>
      <c r="M517" s="4">
        <v>5.3320973647179128</v>
      </c>
      <c r="N517" s="4">
        <v>158.45115259198789</v>
      </c>
      <c r="O517" s="4">
        <v>238.96969892020411</v>
      </c>
      <c r="X517" s="22">
        <f t="shared" si="34"/>
        <v>304.10525957186803</v>
      </c>
      <c r="Y517" s="2">
        <f t="shared" si="35"/>
        <v>4242.6412614065894</v>
      </c>
    </row>
    <row r="518" spans="1:25">
      <c r="A518" s="2" t="s">
        <v>6</v>
      </c>
      <c r="B518" s="2" t="s">
        <v>17</v>
      </c>
      <c r="C518" s="2">
        <v>1.1727304914075101</v>
      </c>
      <c r="D518" s="2">
        <v>119.8766958898685</v>
      </c>
      <c r="E518" s="2">
        <v>227.1621385610274</v>
      </c>
      <c r="J518" s="4">
        <v>1</v>
      </c>
      <c r="K518" s="4">
        <f t="shared" si="32"/>
        <v>3</v>
      </c>
      <c r="L518" s="4">
        <f t="shared" si="33"/>
        <v>6</v>
      </c>
      <c r="M518" s="4">
        <v>1.1727304914075101</v>
      </c>
      <c r="N518" s="4">
        <v>119.8766958898685</v>
      </c>
      <c r="O518" s="4">
        <v>227.1621385610274</v>
      </c>
      <c r="X518" s="22">
        <f t="shared" si="34"/>
        <v>194.15822256248606</v>
      </c>
      <c r="Y518" s="2">
        <f t="shared" si="35"/>
        <v>1089.2584712387734</v>
      </c>
    </row>
    <row r="519" spans="1:25">
      <c r="A519" s="2" t="s">
        <v>10</v>
      </c>
      <c r="B519" s="2" t="s">
        <v>16</v>
      </c>
      <c r="C519" s="2">
        <v>3.3383188787053082</v>
      </c>
      <c r="D519" s="2">
        <v>37.922914821759839</v>
      </c>
      <c r="E519" s="2">
        <v>71.895278523591884</v>
      </c>
      <c r="J519" s="4">
        <v>1</v>
      </c>
      <c r="K519" s="4">
        <f t="shared" si="32"/>
        <v>6</v>
      </c>
      <c r="L519" s="4">
        <f t="shared" si="33"/>
        <v>5</v>
      </c>
      <c r="M519" s="4">
        <v>3.3383188787053082</v>
      </c>
      <c r="N519" s="4">
        <v>37.922914821759839</v>
      </c>
      <c r="O519" s="4">
        <v>71.895278523591884</v>
      </c>
      <c r="X519" s="22">
        <f t="shared" si="34"/>
        <v>97.054567343332224</v>
      </c>
      <c r="Y519" s="2">
        <f t="shared" si="35"/>
        <v>632.9898139151112</v>
      </c>
    </row>
    <row r="520" spans="1:25">
      <c r="A520" s="2" t="s">
        <v>5</v>
      </c>
      <c r="B520" s="2" t="s">
        <v>14</v>
      </c>
      <c r="C520" s="2">
        <v>7.8426084080992151</v>
      </c>
      <c r="D520" s="2">
        <v>164.11351628735949</v>
      </c>
      <c r="E520" s="2">
        <v>308.12202250380932</v>
      </c>
      <c r="J520" s="4">
        <v>1</v>
      </c>
      <c r="K520" s="4">
        <f t="shared" si="32"/>
        <v>1</v>
      </c>
      <c r="L520" s="4">
        <f t="shared" si="33"/>
        <v>3</v>
      </c>
      <c r="M520" s="4">
        <v>7.8426084080992151</v>
      </c>
      <c r="N520" s="4">
        <v>164.11351628735949</v>
      </c>
      <c r="O520" s="4">
        <v>308.12202250380932</v>
      </c>
      <c r="X520" s="22">
        <f t="shared" si="34"/>
        <v>343.86321346137254</v>
      </c>
      <c r="Y520" s="2">
        <f t="shared" si="35"/>
        <v>1277.4327310649987</v>
      </c>
    </row>
    <row r="521" spans="1:25">
      <c r="A521" s="2" t="s">
        <v>8</v>
      </c>
      <c r="B521" s="2" t="s">
        <v>12</v>
      </c>
      <c r="C521" s="2">
        <v>2.2339873515609909</v>
      </c>
      <c r="D521" s="2">
        <v>130.83139436110841</v>
      </c>
      <c r="E521" s="2">
        <v>267.31417104479209</v>
      </c>
      <c r="J521" s="4">
        <v>1</v>
      </c>
      <c r="K521" s="4">
        <f t="shared" si="32"/>
        <v>4</v>
      </c>
      <c r="L521" s="4">
        <f t="shared" si="33"/>
        <v>1</v>
      </c>
      <c r="M521" s="4">
        <v>2.2339873515609909</v>
      </c>
      <c r="N521" s="4">
        <v>130.83139436110841</v>
      </c>
      <c r="O521" s="4">
        <v>267.31417104479209</v>
      </c>
      <c r="X521" s="22">
        <f t="shared" si="34"/>
        <v>223.49588513661027</v>
      </c>
      <c r="Y521" s="2">
        <f t="shared" si="35"/>
        <v>1920.0421799311655</v>
      </c>
    </row>
    <row r="522" spans="1:25">
      <c r="A522" s="2" t="s">
        <v>5</v>
      </c>
      <c r="B522" s="2" t="s">
        <v>17</v>
      </c>
      <c r="C522" s="2">
        <v>5.8177911830733251</v>
      </c>
      <c r="D522" s="2">
        <v>83.751484164129153</v>
      </c>
      <c r="E522" s="2">
        <v>202.64553354272689</v>
      </c>
      <c r="J522" s="4">
        <v>1</v>
      </c>
      <c r="K522" s="4">
        <f t="shared" si="32"/>
        <v>1</v>
      </c>
      <c r="L522" s="4">
        <f t="shared" si="33"/>
        <v>6</v>
      </c>
      <c r="M522" s="4">
        <v>5.8177911830733251</v>
      </c>
      <c r="N522" s="4">
        <v>83.751484164129153</v>
      </c>
      <c r="O522" s="4">
        <v>202.64553354272689</v>
      </c>
      <c r="X522" s="22">
        <f t="shared" si="34"/>
        <v>199.08621620154682</v>
      </c>
      <c r="Y522" s="2">
        <f t="shared" si="35"/>
        <v>12.668739935225208</v>
      </c>
    </row>
    <row r="523" spans="1:25">
      <c r="A523" s="2" t="s">
        <v>6</v>
      </c>
      <c r="B523" s="2" t="s">
        <v>13</v>
      </c>
      <c r="C523" s="2">
        <v>2.936816848155138</v>
      </c>
      <c r="D523" s="2">
        <v>138.08475615185199</v>
      </c>
      <c r="E523" s="2">
        <v>278.94997651688772</v>
      </c>
      <c r="J523" s="4">
        <v>1</v>
      </c>
      <c r="K523" s="4">
        <f t="shared" si="32"/>
        <v>3</v>
      </c>
      <c r="L523" s="4">
        <f t="shared" si="33"/>
        <v>2</v>
      </c>
      <c r="M523" s="4">
        <v>2.936816848155138</v>
      </c>
      <c r="N523" s="4">
        <v>138.08475615185199</v>
      </c>
      <c r="O523" s="4">
        <v>278.94997651688772</v>
      </c>
      <c r="X523" s="22">
        <f t="shared" si="34"/>
        <v>243.49718236495215</v>
      </c>
      <c r="Y523" s="2">
        <f t="shared" si="35"/>
        <v>1256.9006131795165</v>
      </c>
    </row>
    <row r="524" spans="1:25">
      <c r="A524" s="2" t="s">
        <v>7</v>
      </c>
      <c r="B524" s="2" t="s">
        <v>17</v>
      </c>
      <c r="C524" s="2">
        <v>1.10908697179504</v>
      </c>
      <c r="D524" s="2">
        <v>59.38194605613824</v>
      </c>
      <c r="E524" s="2">
        <v>97.890274130965636</v>
      </c>
      <c r="J524" s="4">
        <v>1</v>
      </c>
      <c r="K524" s="4">
        <f t="shared" si="32"/>
        <v>2</v>
      </c>
      <c r="L524" s="4">
        <f t="shared" si="33"/>
        <v>6</v>
      </c>
      <c r="M524" s="4">
        <v>1.10908697179504</v>
      </c>
      <c r="N524" s="4">
        <v>59.38194605613824</v>
      </c>
      <c r="O524" s="4">
        <v>97.890274130965636</v>
      </c>
      <c r="X524" s="22">
        <f t="shared" si="34"/>
        <v>104.18024956973825</v>
      </c>
      <c r="Y524" s="2">
        <f t="shared" si="35"/>
        <v>39.56379102036275</v>
      </c>
    </row>
    <row r="525" spans="1:25">
      <c r="A525" s="2" t="s">
        <v>9</v>
      </c>
      <c r="B525" s="2" t="s">
        <v>14</v>
      </c>
      <c r="C525" s="2">
        <v>3.170813118395873</v>
      </c>
      <c r="D525" s="2">
        <v>75.586519613899995</v>
      </c>
      <c r="E525" s="2">
        <v>184.2581574358282</v>
      </c>
      <c r="J525" s="4">
        <v>1</v>
      </c>
      <c r="K525" s="4">
        <f t="shared" si="32"/>
        <v>5</v>
      </c>
      <c r="L525" s="4">
        <f t="shared" si="33"/>
        <v>3</v>
      </c>
      <c r="M525" s="4">
        <v>3.170813118395873</v>
      </c>
      <c r="N525" s="4">
        <v>75.586519613899995</v>
      </c>
      <c r="O525" s="4">
        <v>184.2581574358282</v>
      </c>
      <c r="X525" s="22">
        <f t="shared" si="34"/>
        <v>151.9483264463463</v>
      </c>
      <c r="Y525" s="2">
        <f t="shared" si="35"/>
        <v>1043.9251785688846</v>
      </c>
    </row>
    <row r="526" spans="1:25">
      <c r="A526" s="2" t="s">
        <v>6</v>
      </c>
      <c r="B526" s="2" t="s">
        <v>12</v>
      </c>
      <c r="C526" s="2">
        <v>9.7828637941904848</v>
      </c>
      <c r="D526" s="2">
        <v>184.3223101950781</v>
      </c>
      <c r="E526" s="2">
        <v>432.12037007887761</v>
      </c>
      <c r="J526" s="4">
        <v>1</v>
      </c>
      <c r="K526" s="4">
        <f t="shared" si="32"/>
        <v>3</v>
      </c>
      <c r="L526" s="4">
        <f t="shared" si="33"/>
        <v>1</v>
      </c>
      <c r="M526" s="4">
        <v>9.7828637941904848</v>
      </c>
      <c r="N526" s="4">
        <v>184.3223101950781</v>
      </c>
      <c r="O526" s="4">
        <v>432.12037007887761</v>
      </c>
      <c r="X526" s="22">
        <f t="shared" si="34"/>
        <v>396.65343950913399</v>
      </c>
      <c r="Y526" s="2">
        <f t="shared" si="35"/>
        <v>1257.9031640390149</v>
      </c>
    </row>
    <row r="527" spans="1:25">
      <c r="A527" s="2" t="s">
        <v>9</v>
      </c>
      <c r="B527" s="2" t="s">
        <v>13</v>
      </c>
      <c r="C527" s="2">
        <v>8.2138340069469074</v>
      </c>
      <c r="D527" s="2">
        <v>65.195856077569871</v>
      </c>
      <c r="E527" s="2">
        <v>222.7128329808159</v>
      </c>
      <c r="J527" s="4">
        <v>1</v>
      </c>
      <c r="K527" s="4">
        <f t="shared" si="32"/>
        <v>5</v>
      </c>
      <c r="L527" s="4">
        <f t="shared" si="33"/>
        <v>2</v>
      </c>
      <c r="M527" s="4">
        <v>8.2138340069469074</v>
      </c>
      <c r="N527" s="4">
        <v>65.195856077569871</v>
      </c>
      <c r="O527" s="4">
        <v>222.7128329808159</v>
      </c>
      <c r="X527" s="22">
        <f t="shared" si="34"/>
        <v>198.74695974082022</v>
      </c>
      <c r="Y527" s="2">
        <f t="shared" si="35"/>
        <v>574.36308015554141</v>
      </c>
    </row>
    <row r="528" spans="1:25">
      <c r="A528" s="2" t="s">
        <v>10</v>
      </c>
      <c r="B528" s="2" t="s">
        <v>14</v>
      </c>
      <c r="C528" s="2">
        <v>9.6361897988893013</v>
      </c>
      <c r="D528" s="2">
        <v>99.297770950007958</v>
      </c>
      <c r="E528" s="2">
        <v>181.0164171723406</v>
      </c>
      <c r="J528" s="4">
        <v>1</v>
      </c>
      <c r="K528" s="4">
        <f t="shared" si="32"/>
        <v>6</v>
      </c>
      <c r="L528" s="4">
        <f t="shared" si="33"/>
        <v>3</v>
      </c>
      <c r="M528" s="4">
        <v>9.6361897988893013</v>
      </c>
      <c r="N528" s="4">
        <v>99.297770950007958</v>
      </c>
      <c r="O528" s="4">
        <v>181.0164171723406</v>
      </c>
      <c r="X528" s="22">
        <f t="shared" si="34"/>
        <v>266.09506567864639</v>
      </c>
      <c r="Y528" s="2">
        <f t="shared" si="35"/>
        <v>7238.3764316595298</v>
      </c>
    </row>
    <row r="529" spans="1:25">
      <c r="A529" s="2" t="s">
        <v>8</v>
      </c>
      <c r="B529" s="2" t="s">
        <v>17</v>
      </c>
      <c r="C529" s="2">
        <v>5.3906863953372621</v>
      </c>
      <c r="D529" s="2">
        <v>179.1268161052428</v>
      </c>
      <c r="E529" s="2">
        <v>333.59075698520911</v>
      </c>
      <c r="J529" s="4">
        <v>1</v>
      </c>
      <c r="K529" s="4">
        <f t="shared" si="32"/>
        <v>4</v>
      </c>
      <c r="L529" s="4">
        <f t="shared" si="33"/>
        <v>6</v>
      </c>
      <c r="M529" s="4">
        <v>5.3906863953372621</v>
      </c>
      <c r="N529" s="4">
        <v>179.1268161052428</v>
      </c>
      <c r="O529" s="4">
        <v>333.59075698520911</v>
      </c>
      <c r="X529" s="22">
        <f t="shared" si="34"/>
        <v>333.44372942879829</v>
      </c>
      <c r="Y529" s="2">
        <f t="shared" si="35"/>
        <v>2.1617102344136628E-2</v>
      </c>
    </row>
    <row r="530" spans="1:25">
      <c r="A530" s="2" t="s">
        <v>11</v>
      </c>
      <c r="B530" s="2" t="s">
        <v>14</v>
      </c>
      <c r="C530" s="2">
        <v>1.9876257880975321</v>
      </c>
      <c r="D530" s="2">
        <v>144.46705655083019</v>
      </c>
      <c r="E530" s="2">
        <v>231.8267752184201</v>
      </c>
      <c r="J530" s="4">
        <v>1</v>
      </c>
      <c r="K530" s="4">
        <f t="shared" si="32"/>
        <v>7</v>
      </c>
      <c r="L530" s="4">
        <f t="shared" si="33"/>
        <v>3</v>
      </c>
      <c r="M530" s="4">
        <v>1.9876257880975321</v>
      </c>
      <c r="N530" s="4">
        <v>144.46705655083019</v>
      </c>
      <c r="O530" s="4">
        <v>231.8267752184201</v>
      </c>
      <c r="X530" s="22">
        <f t="shared" si="34"/>
        <v>238.32807306783036</v>
      </c>
      <c r="Y530" s="2">
        <f t="shared" si="35"/>
        <v>42.266873726746525</v>
      </c>
    </row>
    <row r="531" spans="1:25">
      <c r="A531" s="2" t="s">
        <v>5</v>
      </c>
      <c r="B531" s="2" t="s">
        <v>12</v>
      </c>
      <c r="C531" s="2">
        <v>5.9316354007632368</v>
      </c>
      <c r="D531" s="2">
        <v>21.818612971293518</v>
      </c>
      <c r="E531" s="2">
        <v>145.59582388854119</v>
      </c>
      <c r="J531" s="4">
        <v>1</v>
      </c>
      <c r="K531" s="4">
        <f t="shared" si="32"/>
        <v>1</v>
      </c>
      <c r="L531" s="4">
        <f t="shared" si="33"/>
        <v>1</v>
      </c>
      <c r="M531" s="4">
        <v>5.9316354007632368</v>
      </c>
      <c r="N531" s="4">
        <v>21.818612971293518</v>
      </c>
      <c r="O531" s="4">
        <v>145.59582388854119</v>
      </c>
      <c r="X531" s="22">
        <f t="shared" si="34"/>
        <v>109.14609684378431</v>
      </c>
      <c r="Y531" s="2">
        <f t="shared" si="35"/>
        <v>1328.5826016372814</v>
      </c>
    </row>
    <row r="532" spans="1:25">
      <c r="A532" s="2" t="s">
        <v>8</v>
      </c>
      <c r="B532" s="2" t="s">
        <v>15</v>
      </c>
      <c r="C532" s="2">
        <v>5.0893960110396481</v>
      </c>
      <c r="D532" s="2">
        <v>37.987578413004357</v>
      </c>
      <c r="E532" s="2">
        <v>131.7262737619557</v>
      </c>
      <c r="J532" s="4">
        <v>1</v>
      </c>
      <c r="K532" s="4">
        <f t="shared" si="32"/>
        <v>4</v>
      </c>
      <c r="L532" s="4">
        <f t="shared" si="33"/>
        <v>4</v>
      </c>
      <c r="M532" s="4">
        <v>5.0893960110396481</v>
      </c>
      <c r="N532" s="4">
        <v>37.987578413004357</v>
      </c>
      <c r="O532" s="4">
        <v>131.7262737619557</v>
      </c>
      <c r="X532" s="22">
        <f t="shared" si="34"/>
        <v>120.26604411985022</v>
      </c>
      <c r="Y532" s="2">
        <f t="shared" si="35"/>
        <v>131.33686344979299</v>
      </c>
    </row>
    <row r="533" spans="1:25">
      <c r="A533" s="2" t="s">
        <v>6</v>
      </c>
      <c r="B533" s="2" t="s">
        <v>14</v>
      </c>
      <c r="C533" s="2">
        <v>8.5992137446565433</v>
      </c>
      <c r="D533" s="2">
        <v>11.489902246664199</v>
      </c>
      <c r="E533" s="2">
        <v>182.23457862649889</v>
      </c>
      <c r="J533" s="4">
        <v>1</v>
      </c>
      <c r="K533" s="4">
        <f t="shared" si="32"/>
        <v>3</v>
      </c>
      <c r="L533" s="4">
        <f t="shared" si="33"/>
        <v>3</v>
      </c>
      <c r="M533" s="4">
        <v>8.5992137446565433</v>
      </c>
      <c r="N533" s="4">
        <v>11.489902246664199</v>
      </c>
      <c r="O533" s="4">
        <v>182.23457862649889</v>
      </c>
      <c r="X533" s="22">
        <f t="shared" si="34"/>
        <v>124.95446746235513</v>
      </c>
      <c r="Y533" s="2">
        <f t="shared" si="35"/>
        <v>3281.0111349766667</v>
      </c>
    </row>
    <row r="534" spans="1:25">
      <c r="A534" s="2" t="s">
        <v>9</v>
      </c>
      <c r="B534" s="2" t="s">
        <v>14</v>
      </c>
      <c r="C534" s="2">
        <v>1.882743227058201</v>
      </c>
      <c r="D534" s="2">
        <v>129.87514014354099</v>
      </c>
      <c r="E534" s="2">
        <v>234.86310201600341</v>
      </c>
      <c r="J534" s="4">
        <v>1</v>
      </c>
      <c r="K534" s="4">
        <f t="shared" si="32"/>
        <v>5</v>
      </c>
      <c r="L534" s="4">
        <f t="shared" si="33"/>
        <v>3</v>
      </c>
      <c r="M534" s="4">
        <v>1.882743227058201</v>
      </c>
      <c r="N534" s="4">
        <v>129.87514014354099</v>
      </c>
      <c r="O534" s="4">
        <v>234.86310201600341</v>
      </c>
      <c r="X534" s="22">
        <f t="shared" si="34"/>
        <v>216.76462002724398</v>
      </c>
      <c r="Y534" s="2">
        <f t="shared" si="35"/>
        <v>327.55505029744955</v>
      </c>
    </row>
    <row r="535" spans="1:25">
      <c r="A535" s="2" t="s">
        <v>5</v>
      </c>
      <c r="B535" s="2" t="s">
        <v>17</v>
      </c>
      <c r="C535" s="2">
        <v>5.3941702331960037</v>
      </c>
      <c r="D535" s="2">
        <v>95.057950827979482</v>
      </c>
      <c r="E535" s="2">
        <v>174.34375050205659</v>
      </c>
      <c r="J535" s="4">
        <v>1</v>
      </c>
      <c r="K535" s="4">
        <f t="shared" si="32"/>
        <v>1</v>
      </c>
      <c r="L535" s="4">
        <f t="shared" si="33"/>
        <v>6</v>
      </c>
      <c r="M535" s="4">
        <v>5.3941702331960037</v>
      </c>
      <c r="N535" s="4">
        <v>95.057950827979482</v>
      </c>
      <c r="O535" s="4">
        <v>174.34375050205659</v>
      </c>
      <c r="X535" s="22">
        <f t="shared" si="34"/>
        <v>210.67209922784292</v>
      </c>
      <c r="Y535" s="2">
        <f t="shared" si="35"/>
        <v>1319.748921142341</v>
      </c>
    </row>
    <row r="536" spans="1:25">
      <c r="A536" s="2" t="s">
        <v>9</v>
      </c>
      <c r="B536" s="2" t="s">
        <v>17</v>
      </c>
      <c r="C536" s="2">
        <v>2.3504379822458579</v>
      </c>
      <c r="D536" s="2">
        <v>35.51222167143235</v>
      </c>
      <c r="E536" s="2">
        <v>72.265355320689991</v>
      </c>
      <c r="J536" s="4">
        <v>1</v>
      </c>
      <c r="K536" s="4">
        <f t="shared" si="32"/>
        <v>5</v>
      </c>
      <c r="L536" s="4">
        <f t="shared" si="33"/>
        <v>6</v>
      </c>
      <c r="M536" s="4">
        <v>2.3504379822458579</v>
      </c>
      <c r="N536" s="4">
        <v>35.51222167143235</v>
      </c>
      <c r="O536" s="4">
        <v>72.265355320689991</v>
      </c>
      <c r="X536" s="22">
        <f t="shared" si="34"/>
        <v>81.874389042580191</v>
      </c>
      <c r="Y536" s="2">
        <f t="shared" si="35"/>
        <v>92.333529068423019</v>
      </c>
    </row>
    <row r="537" spans="1:25">
      <c r="A537" s="2" t="s">
        <v>7</v>
      </c>
      <c r="B537" s="2" t="s">
        <v>13</v>
      </c>
      <c r="C537" s="2">
        <v>3.9220833420105401</v>
      </c>
      <c r="D537" s="2">
        <v>192.00748300078641</v>
      </c>
      <c r="E537" s="2">
        <v>344.91914242755968</v>
      </c>
      <c r="J537" s="4">
        <v>1</v>
      </c>
      <c r="K537" s="4">
        <f t="shared" si="32"/>
        <v>2</v>
      </c>
      <c r="L537" s="4">
        <f t="shared" si="33"/>
        <v>2</v>
      </c>
      <c r="M537" s="4">
        <v>3.9220833420105401</v>
      </c>
      <c r="N537" s="4">
        <v>192.00748300078641</v>
      </c>
      <c r="O537" s="4">
        <v>344.91914242755968</v>
      </c>
      <c r="X537" s="22">
        <f t="shared" si="34"/>
        <v>336.47062958485105</v>
      </c>
      <c r="Y537" s="2">
        <f t="shared" si="35"/>
        <v>71.377369253412553</v>
      </c>
    </row>
    <row r="538" spans="1:25">
      <c r="A538" s="2" t="s">
        <v>9</v>
      </c>
      <c r="B538" s="2" t="s">
        <v>17</v>
      </c>
      <c r="C538" s="2">
        <v>7.6362136964901968</v>
      </c>
      <c r="D538" s="2">
        <v>110.6353475496678</v>
      </c>
      <c r="E538" s="2">
        <v>312.74334906555669</v>
      </c>
      <c r="J538" s="4">
        <v>1</v>
      </c>
      <c r="K538" s="4">
        <f t="shared" si="32"/>
        <v>5</v>
      </c>
      <c r="L538" s="4">
        <f t="shared" si="33"/>
        <v>6</v>
      </c>
      <c r="M538" s="4">
        <v>7.6362136964901968</v>
      </c>
      <c r="N538" s="4">
        <v>110.6353475496678</v>
      </c>
      <c r="O538" s="4">
        <v>312.74334906555669</v>
      </c>
      <c r="X538" s="22">
        <f t="shared" si="34"/>
        <v>258.60453698802928</v>
      </c>
      <c r="Y538" s="2">
        <f t="shared" si="35"/>
        <v>2931.0109731658272</v>
      </c>
    </row>
    <row r="539" spans="1:25">
      <c r="A539" s="2" t="s">
        <v>7</v>
      </c>
      <c r="B539" s="2" t="s">
        <v>16</v>
      </c>
      <c r="C539" s="2">
        <v>5.2841631643188984</v>
      </c>
      <c r="D539" s="2">
        <v>55.959725881448954</v>
      </c>
      <c r="E539" s="2">
        <v>121.44296270980129</v>
      </c>
      <c r="J539" s="4">
        <v>1</v>
      </c>
      <c r="K539" s="4">
        <f t="shared" si="32"/>
        <v>2</v>
      </c>
      <c r="L539" s="4">
        <f t="shared" si="33"/>
        <v>5</v>
      </c>
      <c r="M539" s="4">
        <v>5.2841631643188984</v>
      </c>
      <c r="N539" s="4">
        <v>55.959725881448954</v>
      </c>
      <c r="O539" s="4">
        <v>121.44296270980129</v>
      </c>
      <c r="X539" s="22">
        <f t="shared" si="34"/>
        <v>150.64655824145512</v>
      </c>
      <c r="Y539" s="2">
        <f t="shared" si="35"/>
        <v>852.84999197643162</v>
      </c>
    </row>
    <row r="540" spans="1:25">
      <c r="A540" s="2" t="s">
        <v>10</v>
      </c>
      <c r="B540" s="2" t="s">
        <v>12</v>
      </c>
      <c r="C540" s="2">
        <v>4.3829945663119236</v>
      </c>
      <c r="D540" s="2">
        <v>105.1146785193944</v>
      </c>
      <c r="E540" s="2">
        <v>178.6396254681826</v>
      </c>
      <c r="J540" s="4">
        <v>1</v>
      </c>
      <c r="K540" s="4">
        <f t="shared" si="32"/>
        <v>6</v>
      </c>
      <c r="L540" s="4">
        <f t="shared" si="33"/>
        <v>1</v>
      </c>
      <c r="M540" s="4">
        <v>4.3829945663119236</v>
      </c>
      <c r="N540" s="4">
        <v>105.1146785193944</v>
      </c>
      <c r="O540" s="4">
        <v>178.6396254681826</v>
      </c>
      <c r="X540" s="22">
        <f t="shared" si="34"/>
        <v>210.32882758620815</v>
      </c>
      <c r="Y540" s="2">
        <f t="shared" si="35"/>
        <v>1004.2055308770749</v>
      </c>
    </row>
    <row r="541" spans="1:25">
      <c r="A541" s="2" t="s">
        <v>5</v>
      </c>
      <c r="B541" s="2" t="s">
        <v>12</v>
      </c>
      <c r="C541" s="2">
        <v>4.550286507130318</v>
      </c>
      <c r="D541" s="2">
        <v>139.1278632196705</v>
      </c>
      <c r="E541" s="2">
        <v>210.6756755937881</v>
      </c>
      <c r="J541" s="4">
        <v>1</v>
      </c>
      <c r="K541" s="4">
        <f t="shared" si="32"/>
        <v>1</v>
      </c>
      <c r="L541" s="4">
        <f t="shared" si="33"/>
        <v>1</v>
      </c>
      <c r="M541" s="4">
        <v>4.550286507130318</v>
      </c>
      <c r="N541" s="4">
        <v>139.1278632196705</v>
      </c>
      <c r="O541" s="4">
        <v>210.6756755937881</v>
      </c>
      <c r="X541" s="22">
        <f t="shared" si="34"/>
        <v>266.46818577808551</v>
      </c>
      <c r="Y541" s="2">
        <f t="shared" si="35"/>
        <v>3112.8041926649307</v>
      </c>
    </row>
    <row r="542" spans="1:25">
      <c r="A542" s="2" t="s">
        <v>5</v>
      </c>
      <c r="B542" s="2" t="s">
        <v>15</v>
      </c>
      <c r="C542" s="2">
        <v>5.1350209156538797</v>
      </c>
      <c r="D542" s="2">
        <v>24.485451414977248</v>
      </c>
      <c r="E542" s="2">
        <v>73.202658715666345</v>
      </c>
      <c r="J542" s="4">
        <v>1</v>
      </c>
      <c r="K542" s="4">
        <f t="shared" si="32"/>
        <v>1</v>
      </c>
      <c r="L542" s="4">
        <f t="shared" si="33"/>
        <v>4</v>
      </c>
      <c r="M542" s="4">
        <v>5.1350209156538797</v>
      </c>
      <c r="N542" s="4">
        <v>24.485451414977248</v>
      </c>
      <c r="O542" s="4">
        <v>73.202658715666345</v>
      </c>
      <c r="X542" s="22">
        <f t="shared" si="34"/>
        <v>102.8820151522194</v>
      </c>
      <c r="Y542" s="2">
        <f t="shared" si="35"/>
        <v>880.86419848796299</v>
      </c>
    </row>
    <row r="543" spans="1:25">
      <c r="A543" s="2" t="s">
        <v>11</v>
      </c>
      <c r="B543" s="2" t="s">
        <v>15</v>
      </c>
      <c r="C543" s="2">
        <v>8.065148894533511</v>
      </c>
      <c r="D543" s="2">
        <v>62.193724859099483</v>
      </c>
      <c r="E543" s="2">
        <v>188.20881278807701</v>
      </c>
      <c r="J543" s="4">
        <v>1</v>
      </c>
      <c r="K543" s="4">
        <f t="shared" si="32"/>
        <v>7</v>
      </c>
      <c r="L543" s="4">
        <f t="shared" si="33"/>
        <v>4</v>
      </c>
      <c r="M543" s="4">
        <v>8.065148894533511</v>
      </c>
      <c r="N543" s="4">
        <v>62.193724859099483</v>
      </c>
      <c r="O543" s="4">
        <v>188.20881278807701</v>
      </c>
      <c r="X543" s="22">
        <f t="shared" si="34"/>
        <v>190.76317906883881</v>
      </c>
      <c r="Y543" s="2">
        <f t="shared" si="35"/>
        <v>6.5247870962928589</v>
      </c>
    </row>
    <row r="544" spans="1:25">
      <c r="A544" s="2" t="s">
        <v>6</v>
      </c>
      <c r="B544" s="2" t="s">
        <v>12</v>
      </c>
      <c r="C544" s="2">
        <v>9.0287622004621095</v>
      </c>
      <c r="D544" s="2">
        <v>163.32344326795879</v>
      </c>
      <c r="E544" s="2">
        <v>308.66032339013822</v>
      </c>
      <c r="J544" s="4">
        <v>1</v>
      </c>
      <c r="K544" s="4">
        <f t="shared" si="32"/>
        <v>3</v>
      </c>
      <c r="L544" s="4">
        <f t="shared" si="33"/>
        <v>1</v>
      </c>
      <c r="M544" s="4">
        <v>9.0287622004621095</v>
      </c>
      <c r="N544" s="4">
        <v>163.32344326795879</v>
      </c>
      <c r="O544" s="4">
        <v>308.66032339013822</v>
      </c>
      <c r="X544" s="22">
        <f t="shared" si="34"/>
        <v>356.1610087746285</v>
      </c>
      <c r="Y544" s="2">
        <f t="shared" si="35"/>
        <v>2256.3151119963286</v>
      </c>
    </row>
    <row r="545" spans="1:25">
      <c r="A545" s="2" t="s">
        <v>7</v>
      </c>
      <c r="B545" s="2" t="s">
        <v>15</v>
      </c>
      <c r="C545" s="2">
        <v>9.5980121785353543</v>
      </c>
      <c r="D545" s="2">
        <v>97.336325376505641</v>
      </c>
      <c r="E545" s="2">
        <v>312.91468502103419</v>
      </c>
      <c r="J545" s="4">
        <v>1</v>
      </c>
      <c r="K545" s="4">
        <f t="shared" si="32"/>
        <v>2</v>
      </c>
      <c r="L545" s="4">
        <f t="shared" si="33"/>
        <v>4</v>
      </c>
      <c r="M545" s="4">
        <v>9.5980121785353543</v>
      </c>
      <c r="N545" s="4">
        <v>97.336325376505641</v>
      </c>
      <c r="O545" s="4">
        <v>312.91468502103419</v>
      </c>
      <c r="X545" s="22">
        <f t="shared" si="34"/>
        <v>265.39691591845394</v>
      </c>
      <c r="Y545" s="2">
        <f t="shared" si="35"/>
        <v>2257.93838048613</v>
      </c>
    </row>
    <row r="546" spans="1:25">
      <c r="A546" s="2" t="s">
        <v>11</v>
      </c>
      <c r="B546" s="2" t="s">
        <v>13</v>
      </c>
      <c r="C546" s="2">
        <v>8.0821304762976567</v>
      </c>
      <c r="D546" s="2">
        <v>113.849656986136</v>
      </c>
      <c r="E546" s="2">
        <v>270.23452329949168</v>
      </c>
      <c r="J546" s="4">
        <v>1</v>
      </c>
      <c r="K546" s="4">
        <f t="shared" si="32"/>
        <v>7</v>
      </c>
      <c r="L546" s="4">
        <f t="shared" si="33"/>
        <v>2</v>
      </c>
      <c r="M546" s="4">
        <v>8.0821304762976567</v>
      </c>
      <c r="N546" s="4">
        <v>113.849656986136</v>
      </c>
      <c r="O546" s="4">
        <v>270.23452329949168</v>
      </c>
      <c r="X546" s="22">
        <f t="shared" si="34"/>
        <v>268.01613127834821</v>
      </c>
      <c r="Y546" s="2">
        <f t="shared" si="35"/>
        <v>4.9212631594730203</v>
      </c>
    </row>
    <row r="547" spans="1:25">
      <c r="A547" s="2" t="s">
        <v>9</v>
      </c>
      <c r="B547" s="2" t="s">
        <v>17</v>
      </c>
      <c r="C547" s="2">
        <v>3.8386620617321152</v>
      </c>
      <c r="D547" s="2">
        <v>92.235040419799162</v>
      </c>
      <c r="E547" s="2">
        <v>238.3900150146078</v>
      </c>
      <c r="J547" s="4">
        <v>1</v>
      </c>
      <c r="K547" s="4">
        <f t="shared" si="32"/>
        <v>5</v>
      </c>
      <c r="L547" s="4">
        <f t="shared" si="33"/>
        <v>6</v>
      </c>
      <c r="M547" s="4">
        <v>3.8386620617321152</v>
      </c>
      <c r="N547" s="4">
        <v>92.235040419799162</v>
      </c>
      <c r="O547" s="4">
        <v>238.3900150146078</v>
      </c>
      <c r="X547" s="22">
        <f t="shared" si="34"/>
        <v>184.49605422831092</v>
      </c>
      <c r="Y547" s="2">
        <f t="shared" si="35"/>
        <v>2904.5590092349053</v>
      </c>
    </row>
    <row r="548" spans="1:25">
      <c r="A548" s="2" t="s">
        <v>9</v>
      </c>
      <c r="B548" s="2" t="s">
        <v>12</v>
      </c>
      <c r="C548" s="2">
        <v>7.1932123547788791</v>
      </c>
      <c r="D548" s="2">
        <v>18.340989102170969</v>
      </c>
      <c r="E548" s="2">
        <v>74.393426608254671</v>
      </c>
      <c r="J548" s="4">
        <v>1</v>
      </c>
      <c r="K548" s="4">
        <f t="shared" si="32"/>
        <v>5</v>
      </c>
      <c r="L548" s="4">
        <f t="shared" si="33"/>
        <v>1</v>
      </c>
      <c r="M548" s="4">
        <v>7.1932123547788791</v>
      </c>
      <c r="N548" s="4">
        <v>18.340989102170969</v>
      </c>
      <c r="O548" s="4">
        <v>74.393426608254671</v>
      </c>
      <c r="X548" s="22">
        <f t="shared" si="34"/>
        <v>116.68732822091005</v>
      </c>
      <c r="Y548" s="2">
        <f t="shared" si="35"/>
        <v>1788.7741136209729</v>
      </c>
    </row>
    <row r="549" spans="1:25">
      <c r="A549" s="2" t="s">
        <v>11</v>
      </c>
      <c r="B549" s="2" t="s">
        <v>15</v>
      </c>
      <c r="C549" s="2">
        <v>4.9384281164985273</v>
      </c>
      <c r="D549" s="2">
        <v>41.492458165829618</v>
      </c>
      <c r="E549" s="2">
        <v>121.7167066853135</v>
      </c>
      <c r="J549" s="4">
        <v>1</v>
      </c>
      <c r="K549" s="4">
        <f t="shared" si="32"/>
        <v>7</v>
      </c>
      <c r="L549" s="4">
        <f t="shared" si="33"/>
        <v>4</v>
      </c>
      <c r="M549" s="4">
        <v>4.9384281164985273</v>
      </c>
      <c r="N549" s="4">
        <v>41.492458165829618</v>
      </c>
      <c r="O549" s="4">
        <v>121.7167066853135</v>
      </c>
      <c r="X549" s="22">
        <f t="shared" si="34"/>
        <v>121.49602571950314</v>
      </c>
      <c r="Y549" s="2">
        <f t="shared" si="35"/>
        <v>4.8700088670993034E-2</v>
      </c>
    </row>
    <row r="550" spans="1:25">
      <c r="A550" s="2" t="s">
        <v>5</v>
      </c>
      <c r="B550" s="2" t="s">
        <v>12</v>
      </c>
      <c r="C550" s="2">
        <v>3.29203559841446</v>
      </c>
      <c r="D550" s="2">
        <v>94.652911360959266</v>
      </c>
      <c r="E550" s="2">
        <v>194.90544983970469</v>
      </c>
      <c r="J550" s="4">
        <v>1</v>
      </c>
      <c r="K550" s="4">
        <f t="shared" si="32"/>
        <v>1</v>
      </c>
      <c r="L550" s="4">
        <f t="shared" si="33"/>
        <v>1</v>
      </c>
      <c r="M550" s="4">
        <v>3.29203559841446</v>
      </c>
      <c r="N550" s="4">
        <v>94.652911360959266</v>
      </c>
      <c r="O550" s="4">
        <v>194.90544983970469</v>
      </c>
      <c r="X550" s="22">
        <f t="shared" si="34"/>
        <v>184.87992085123997</v>
      </c>
      <c r="Y550" s="2">
        <f t="shared" si="35"/>
        <v>100.51123149854631</v>
      </c>
    </row>
    <row r="551" spans="1:25">
      <c r="A551" s="2" t="s">
        <v>9</v>
      </c>
      <c r="B551" s="2" t="s">
        <v>16</v>
      </c>
      <c r="C551" s="2">
        <v>8.5678442148333041</v>
      </c>
      <c r="D551" s="2">
        <v>49.745238427506287</v>
      </c>
      <c r="E551" s="2">
        <v>147.6245667088287</v>
      </c>
      <c r="J551" s="4">
        <v>1</v>
      </c>
      <c r="K551" s="4">
        <f t="shared" si="32"/>
        <v>5</v>
      </c>
      <c r="L551" s="4">
        <f t="shared" si="33"/>
        <v>5</v>
      </c>
      <c r="M551" s="4">
        <v>8.5678442148333041</v>
      </c>
      <c r="N551" s="4">
        <v>49.745238427506287</v>
      </c>
      <c r="O551" s="4">
        <v>147.6245667088287</v>
      </c>
      <c r="X551" s="22">
        <f t="shared" si="34"/>
        <v>179.72773103286451</v>
      </c>
      <c r="Y551" s="2">
        <f t="shared" si="35"/>
        <v>1030.613159616046</v>
      </c>
    </row>
    <row r="552" spans="1:25">
      <c r="A552" s="2" t="s">
        <v>10</v>
      </c>
      <c r="B552" s="2" t="s">
        <v>14</v>
      </c>
      <c r="C552" s="2">
        <v>1.3458371406609251</v>
      </c>
      <c r="D552" s="2">
        <v>19.496015445338958</v>
      </c>
      <c r="E552" s="2">
        <v>28.28762084385097</v>
      </c>
      <c r="J552" s="4">
        <v>1</v>
      </c>
      <c r="K552" s="4">
        <f t="shared" si="32"/>
        <v>6</v>
      </c>
      <c r="L552" s="4">
        <f t="shared" si="33"/>
        <v>3</v>
      </c>
      <c r="M552" s="4">
        <v>1.3458371406609251</v>
      </c>
      <c r="N552" s="4">
        <v>19.496015445338958</v>
      </c>
      <c r="O552" s="4">
        <v>28.28762084385097</v>
      </c>
      <c r="X552" s="22">
        <f t="shared" si="34"/>
        <v>45.412984956937613</v>
      </c>
      <c r="Y552" s="2">
        <f t="shared" si="35"/>
        <v>293.27809600579587</v>
      </c>
    </row>
    <row r="553" spans="1:25">
      <c r="A553" s="2" t="s">
        <v>10</v>
      </c>
      <c r="B553" s="2" t="s">
        <v>17</v>
      </c>
      <c r="C553" s="2">
        <v>9.1158579292188122</v>
      </c>
      <c r="D553" s="2">
        <v>170.2934361698465</v>
      </c>
      <c r="E553" s="2">
        <v>317.88441874509181</v>
      </c>
      <c r="J553" s="4">
        <v>1</v>
      </c>
      <c r="K553" s="4">
        <f t="shared" si="32"/>
        <v>6</v>
      </c>
      <c r="L553" s="4">
        <f t="shared" si="33"/>
        <v>6</v>
      </c>
      <c r="M553" s="4">
        <v>9.1158579292188122</v>
      </c>
      <c r="N553" s="4">
        <v>170.2934361698465</v>
      </c>
      <c r="O553" s="4">
        <v>317.88441874509181</v>
      </c>
      <c r="X553" s="22">
        <f t="shared" si="34"/>
        <v>364.77611623987411</v>
      </c>
      <c r="Y553" s="2">
        <f t="shared" si="35"/>
        <v>2198.831293942173</v>
      </c>
    </row>
    <row r="554" spans="1:25">
      <c r="A554" s="2" t="s">
        <v>11</v>
      </c>
      <c r="B554" s="2" t="s">
        <v>12</v>
      </c>
      <c r="C554" s="2">
        <v>5.153297181622607</v>
      </c>
      <c r="D554" s="2">
        <v>196.42658054118201</v>
      </c>
      <c r="E554" s="2">
        <v>316.99841128129827</v>
      </c>
      <c r="J554" s="4">
        <v>1</v>
      </c>
      <c r="K554" s="4">
        <f t="shared" si="32"/>
        <v>7</v>
      </c>
      <c r="L554" s="4">
        <f t="shared" si="33"/>
        <v>1</v>
      </c>
      <c r="M554" s="4">
        <v>5.153297181622607</v>
      </c>
      <c r="N554" s="4">
        <v>196.42658054118201</v>
      </c>
      <c r="O554" s="4">
        <v>316.99841128129827</v>
      </c>
      <c r="X554" s="22">
        <f t="shared" si="34"/>
        <v>354.80588870495956</v>
      </c>
      <c r="Y554" s="2">
        <f t="shared" si="35"/>
        <v>1429.4053491406576</v>
      </c>
    </row>
    <row r="555" spans="1:25">
      <c r="A555" s="2" t="s">
        <v>7</v>
      </c>
      <c r="B555" s="2" t="s">
        <v>14</v>
      </c>
      <c r="C555" s="2">
        <v>6.7348132912745244</v>
      </c>
      <c r="D555" s="2">
        <v>160.69714605938049</v>
      </c>
      <c r="E555" s="2">
        <v>328.89578779745477</v>
      </c>
      <c r="J555" s="4">
        <v>1</v>
      </c>
      <c r="K555" s="4">
        <f t="shared" si="32"/>
        <v>2</v>
      </c>
      <c r="L555" s="4">
        <f t="shared" si="33"/>
        <v>3</v>
      </c>
      <c r="M555" s="4">
        <v>6.7348132912745244</v>
      </c>
      <c r="N555" s="4">
        <v>160.69714605938049</v>
      </c>
      <c r="O555" s="4">
        <v>328.89578779745477</v>
      </c>
      <c r="X555" s="22">
        <f t="shared" si="34"/>
        <v>324.43801363387678</v>
      </c>
      <c r="Y555" s="2">
        <f t="shared" si="35"/>
        <v>19.871750493463487</v>
      </c>
    </row>
    <row r="556" spans="1:25">
      <c r="A556" s="2" t="s">
        <v>7</v>
      </c>
      <c r="B556" s="2" t="s">
        <v>15</v>
      </c>
      <c r="C556" s="2">
        <v>6.9341852998520448</v>
      </c>
      <c r="D556" s="2">
        <v>172.2191351238867</v>
      </c>
      <c r="E556" s="2">
        <v>360.07594153722982</v>
      </c>
      <c r="J556" s="4">
        <v>1</v>
      </c>
      <c r="K556" s="4">
        <f t="shared" si="32"/>
        <v>2</v>
      </c>
      <c r="L556" s="4">
        <f t="shared" si="33"/>
        <v>4</v>
      </c>
      <c r="M556" s="4">
        <v>6.9341852998520448</v>
      </c>
      <c r="N556" s="4">
        <v>172.2191351238867</v>
      </c>
      <c r="O556" s="4">
        <v>360.07594153722982</v>
      </c>
      <c r="X556" s="22">
        <f t="shared" si="34"/>
        <v>343.87667845162315</v>
      </c>
      <c r="Y556" s="2">
        <f t="shared" si="35"/>
        <v>262.41612451669909</v>
      </c>
    </row>
    <row r="557" spans="1:25">
      <c r="A557" s="2" t="s">
        <v>11</v>
      </c>
      <c r="B557" s="2" t="s">
        <v>14</v>
      </c>
      <c r="C557" s="2">
        <v>9.0560596663588271</v>
      </c>
      <c r="D557" s="2">
        <v>55.975654760238619</v>
      </c>
      <c r="E557" s="2">
        <v>160.63102949124789</v>
      </c>
      <c r="J557" s="4">
        <v>1</v>
      </c>
      <c r="K557" s="4">
        <f t="shared" si="32"/>
        <v>7</v>
      </c>
      <c r="L557" s="4">
        <f t="shared" si="33"/>
        <v>3</v>
      </c>
      <c r="M557" s="4">
        <v>9.0560596663588271</v>
      </c>
      <c r="N557" s="4">
        <v>55.975654760238619</v>
      </c>
      <c r="O557" s="4">
        <v>160.63102949124789</v>
      </c>
      <c r="X557" s="22">
        <f t="shared" si="34"/>
        <v>193.86404461541827</v>
      </c>
      <c r="Y557" s="2">
        <f t="shared" si="35"/>
        <v>1104.4332942433371</v>
      </c>
    </row>
    <row r="558" spans="1:25">
      <c r="A558" s="2" t="s">
        <v>7</v>
      </c>
      <c r="B558" s="2" t="s">
        <v>17</v>
      </c>
      <c r="C558" s="2">
        <v>6.7300271395048661</v>
      </c>
      <c r="D558" s="2">
        <v>192.51912534750801</v>
      </c>
      <c r="E558" s="2">
        <v>403.67874230677631</v>
      </c>
      <c r="J558" s="4">
        <v>1</v>
      </c>
      <c r="K558" s="4">
        <f t="shared" si="32"/>
        <v>2</v>
      </c>
      <c r="L558" s="4">
        <f t="shared" si="33"/>
        <v>6</v>
      </c>
      <c r="M558" s="4">
        <v>6.7300271395048661</v>
      </c>
      <c r="N558" s="4">
        <v>192.51912534750801</v>
      </c>
      <c r="O558" s="4">
        <v>403.67874230677631</v>
      </c>
      <c r="X558" s="22">
        <f t="shared" si="34"/>
        <v>371.25191206278981</v>
      </c>
      <c r="Y558" s="2">
        <f t="shared" si="35"/>
        <v>1051.4993196723176</v>
      </c>
    </row>
    <row r="559" spans="1:25">
      <c r="A559" s="2" t="s">
        <v>5</v>
      </c>
      <c r="B559" s="2" t="s">
        <v>12</v>
      </c>
      <c r="C559" s="2">
        <v>6.5254022628405561</v>
      </c>
      <c r="D559" s="2">
        <v>47.415883846151402</v>
      </c>
      <c r="E559" s="2">
        <v>178.62362354241409</v>
      </c>
      <c r="J559" s="4">
        <v>1</v>
      </c>
      <c r="K559" s="4">
        <f t="shared" si="32"/>
        <v>1</v>
      </c>
      <c r="L559" s="4">
        <f t="shared" si="33"/>
        <v>1</v>
      </c>
      <c r="M559" s="4">
        <v>6.5254022628405561</v>
      </c>
      <c r="N559" s="4">
        <v>47.415883846151402</v>
      </c>
      <c r="O559" s="4">
        <v>178.62362354241409</v>
      </c>
      <c r="X559" s="22">
        <f t="shared" si="34"/>
        <v>154.49777982939725</v>
      </c>
      <c r="Y559" s="2">
        <f t="shared" si="35"/>
        <v>582.05633486491456</v>
      </c>
    </row>
    <row r="560" spans="1:25">
      <c r="A560" s="2" t="s">
        <v>5</v>
      </c>
      <c r="B560" s="2" t="s">
        <v>16</v>
      </c>
      <c r="C560" s="2">
        <v>1.59986836504621</v>
      </c>
      <c r="D560" s="2">
        <v>190.7716639687481</v>
      </c>
      <c r="E560" s="2">
        <v>249.8702051087441</v>
      </c>
      <c r="J560" s="4">
        <v>1</v>
      </c>
      <c r="K560" s="4">
        <f t="shared" si="32"/>
        <v>1</v>
      </c>
      <c r="L560" s="4">
        <f t="shared" si="33"/>
        <v>5</v>
      </c>
      <c r="M560" s="4">
        <v>1.59986836504621</v>
      </c>
      <c r="N560" s="4">
        <v>190.7716639687481</v>
      </c>
      <c r="O560" s="4">
        <v>249.8702051087441</v>
      </c>
      <c r="X560" s="22">
        <f t="shared" si="34"/>
        <v>306.32675365511551</v>
      </c>
      <c r="Y560" s="2">
        <f t="shared" si="35"/>
        <v>3187.3418737687916</v>
      </c>
    </row>
    <row r="561" spans="1:25">
      <c r="A561" s="2" t="s">
        <v>7</v>
      </c>
      <c r="B561" s="2" t="s">
        <v>15</v>
      </c>
      <c r="C561" s="2">
        <v>5.6656721975068356</v>
      </c>
      <c r="D561" s="2">
        <v>199.01566585353069</v>
      </c>
      <c r="E561" s="2">
        <v>409.35356927586679</v>
      </c>
      <c r="J561" s="4">
        <v>1</v>
      </c>
      <c r="K561" s="4">
        <f t="shared" si="32"/>
        <v>2</v>
      </c>
      <c r="L561" s="4">
        <f t="shared" si="33"/>
        <v>4</v>
      </c>
      <c r="M561" s="4">
        <v>5.6656721975068356</v>
      </c>
      <c r="N561" s="4">
        <v>199.01566585353069</v>
      </c>
      <c r="O561" s="4">
        <v>409.35356927586679</v>
      </c>
      <c r="X561" s="22">
        <f t="shared" si="34"/>
        <v>368.07802372414056</v>
      </c>
      <c r="Y561" s="2">
        <f t="shared" si="35"/>
        <v>1703.6706605926265</v>
      </c>
    </row>
    <row r="562" spans="1:25">
      <c r="A562" s="2" t="s">
        <v>10</v>
      </c>
      <c r="B562" s="2" t="s">
        <v>12</v>
      </c>
      <c r="C562" s="2">
        <v>2.3515210073533752</v>
      </c>
      <c r="D562" s="2">
        <v>145.2273330917493</v>
      </c>
      <c r="E562" s="2">
        <v>211.21375808837249</v>
      </c>
      <c r="J562" s="4">
        <v>1</v>
      </c>
      <c r="K562" s="4">
        <f t="shared" si="32"/>
        <v>6</v>
      </c>
      <c r="L562" s="4">
        <f t="shared" si="33"/>
        <v>1</v>
      </c>
      <c r="M562" s="4">
        <v>2.3515210073533752</v>
      </c>
      <c r="N562" s="4">
        <v>145.2273330917493</v>
      </c>
      <c r="O562" s="4">
        <v>211.21375808837249</v>
      </c>
      <c r="X562" s="22">
        <f t="shared" si="34"/>
        <v>244.92388583707907</v>
      </c>
      <c r="Y562" s="2">
        <f t="shared" si="35"/>
        <v>1136.3727128341175</v>
      </c>
    </row>
    <row r="563" spans="1:25">
      <c r="A563" s="2" t="s">
        <v>7</v>
      </c>
      <c r="B563" s="2" t="s">
        <v>17</v>
      </c>
      <c r="C563" s="2">
        <v>7.6369039184933696</v>
      </c>
      <c r="D563" s="2">
        <v>196.41730904044621</v>
      </c>
      <c r="E563" s="2">
        <v>395.35928557662288</v>
      </c>
      <c r="J563" s="4">
        <v>1</v>
      </c>
      <c r="K563" s="4">
        <f t="shared" si="32"/>
        <v>2</v>
      </c>
      <c r="L563" s="4">
        <f t="shared" si="33"/>
        <v>6</v>
      </c>
      <c r="M563" s="4">
        <v>7.6369039184933696</v>
      </c>
      <c r="N563" s="4">
        <v>196.41730904044621</v>
      </c>
      <c r="O563" s="4">
        <v>395.35928557662288</v>
      </c>
      <c r="X563" s="22">
        <f t="shared" si="34"/>
        <v>388.21246310716685</v>
      </c>
      <c r="Y563" s="2">
        <f t="shared" si="35"/>
        <v>51.077071409921537</v>
      </c>
    </row>
    <row r="564" spans="1:25">
      <c r="A564" s="2" t="s">
        <v>5</v>
      </c>
      <c r="B564" s="2" t="s">
        <v>15</v>
      </c>
      <c r="C564" s="2">
        <v>5.6099972873140702</v>
      </c>
      <c r="D564" s="2">
        <v>118.21255811774969</v>
      </c>
      <c r="E564" s="2">
        <v>212.0785868601578</v>
      </c>
      <c r="J564" s="4">
        <v>1</v>
      </c>
      <c r="K564" s="4">
        <f t="shared" si="32"/>
        <v>1</v>
      </c>
      <c r="L564" s="4">
        <f t="shared" si="33"/>
        <v>4</v>
      </c>
      <c r="M564" s="4">
        <v>5.6099972873140702</v>
      </c>
      <c r="N564" s="4">
        <v>118.21255811774969</v>
      </c>
      <c r="O564" s="4">
        <v>212.0785868601578</v>
      </c>
      <c r="X564" s="22">
        <f t="shared" si="34"/>
        <v>248.01808950502149</v>
      </c>
      <c r="Y564" s="2">
        <f t="shared" si="35"/>
        <v>1291.6478503601645</v>
      </c>
    </row>
    <row r="565" spans="1:25">
      <c r="A565" s="2" t="s">
        <v>8</v>
      </c>
      <c r="B565" s="2" t="s">
        <v>13</v>
      </c>
      <c r="C565" s="2">
        <v>7.1220500128751798</v>
      </c>
      <c r="D565" s="2">
        <v>59.312938803457158</v>
      </c>
      <c r="E565" s="2">
        <v>160.038720316351</v>
      </c>
      <c r="J565" s="4">
        <v>1</v>
      </c>
      <c r="K565" s="4">
        <f t="shared" si="32"/>
        <v>4</v>
      </c>
      <c r="L565" s="4">
        <f t="shared" si="33"/>
        <v>2</v>
      </c>
      <c r="M565" s="4">
        <v>7.1220500128751798</v>
      </c>
      <c r="N565" s="4">
        <v>59.312938803457158</v>
      </c>
      <c r="O565" s="4">
        <v>160.038720316351</v>
      </c>
      <c r="X565" s="22">
        <f t="shared" si="34"/>
        <v>177.26643438378227</v>
      </c>
      <c r="Y565" s="2">
        <f t="shared" si="35"/>
        <v>296.7941319891691</v>
      </c>
    </row>
    <row r="566" spans="1:25">
      <c r="A566" s="2" t="s">
        <v>6</v>
      </c>
      <c r="B566" s="2" t="s">
        <v>14</v>
      </c>
      <c r="C566" s="2">
        <v>1.375056105421459</v>
      </c>
      <c r="D566" s="2">
        <v>93.029218276467958</v>
      </c>
      <c r="E566" s="2">
        <v>127.7057367108391</v>
      </c>
      <c r="J566" s="4">
        <v>1</v>
      </c>
      <c r="K566" s="4">
        <f t="shared" si="32"/>
        <v>3</v>
      </c>
      <c r="L566" s="4">
        <f t="shared" si="33"/>
        <v>3</v>
      </c>
      <c r="M566" s="4">
        <v>1.375056105421459</v>
      </c>
      <c r="N566" s="4">
        <v>93.029218276467958</v>
      </c>
      <c r="O566" s="4">
        <v>127.7057367108391</v>
      </c>
      <c r="X566" s="22">
        <f t="shared" si="34"/>
        <v>157.16943819458155</v>
      </c>
      <c r="Y566" s="2">
        <f t="shared" si="35"/>
        <v>868.10970512308643</v>
      </c>
    </row>
    <row r="567" spans="1:25">
      <c r="A567" s="2" t="s">
        <v>9</v>
      </c>
      <c r="B567" s="2" t="s">
        <v>17</v>
      </c>
      <c r="C567" s="2">
        <v>1.7631281444122291</v>
      </c>
      <c r="D567" s="2">
        <v>122.7765777219693</v>
      </c>
      <c r="E567" s="2">
        <v>198.18607471422561</v>
      </c>
      <c r="J567" s="4">
        <v>1</v>
      </c>
      <c r="K567" s="4">
        <f t="shared" si="32"/>
        <v>5</v>
      </c>
      <c r="L567" s="4">
        <f t="shared" si="33"/>
        <v>6</v>
      </c>
      <c r="M567" s="4">
        <v>1.7631281444122291</v>
      </c>
      <c r="N567" s="4">
        <v>122.7765777219693</v>
      </c>
      <c r="O567" s="4">
        <v>198.18607471422561</v>
      </c>
      <c r="X567" s="22">
        <f t="shared" si="34"/>
        <v>204.32498202977612</v>
      </c>
      <c r="Y567" s="2">
        <f t="shared" si="35"/>
        <v>37.686183028919586</v>
      </c>
    </row>
    <row r="568" spans="1:25">
      <c r="A568" s="2" t="s">
        <v>8</v>
      </c>
      <c r="B568" s="2" t="s">
        <v>13</v>
      </c>
      <c r="C568" s="2">
        <v>7.4469104925641414</v>
      </c>
      <c r="D568" s="2">
        <v>23.885496785132851</v>
      </c>
      <c r="E568" s="2">
        <v>101.47142871521871</v>
      </c>
      <c r="J568" s="4">
        <v>1</v>
      </c>
      <c r="K568" s="4">
        <f t="shared" si="32"/>
        <v>4</v>
      </c>
      <c r="L568" s="4">
        <f t="shared" si="33"/>
        <v>2</v>
      </c>
      <c r="M568" s="4">
        <v>7.4469104925641414</v>
      </c>
      <c r="N568" s="4">
        <v>23.885496785132851</v>
      </c>
      <c r="O568" s="4">
        <v>101.47142871521871</v>
      </c>
      <c r="X568" s="22">
        <f t="shared" si="34"/>
        <v>128.61840308910334</v>
      </c>
      <c r="Y568" s="2">
        <f t="shared" si="35"/>
        <v>736.95821765634889</v>
      </c>
    </row>
    <row r="569" spans="1:25">
      <c r="A569" s="2" t="s">
        <v>7</v>
      </c>
      <c r="B569" s="2" t="s">
        <v>12</v>
      </c>
      <c r="C569" s="2">
        <v>1.6487590239880601</v>
      </c>
      <c r="D569" s="2">
        <v>128.24522027727679</v>
      </c>
      <c r="E569" s="2">
        <v>202.30652567600711</v>
      </c>
      <c r="J569" s="4">
        <v>1</v>
      </c>
      <c r="K569" s="4">
        <f t="shared" si="32"/>
        <v>2</v>
      </c>
      <c r="L569" s="4">
        <f t="shared" si="33"/>
        <v>1</v>
      </c>
      <c r="M569" s="4">
        <v>1.6487590239880601</v>
      </c>
      <c r="N569" s="4">
        <v>128.24522027727679</v>
      </c>
      <c r="O569" s="4">
        <v>202.30652567600711</v>
      </c>
      <c r="X569" s="22">
        <f t="shared" si="34"/>
        <v>213.85898052388163</v>
      </c>
      <c r="Y569" s="2">
        <f t="shared" si="35"/>
        <v>133.45921301217936</v>
      </c>
    </row>
    <row r="570" spans="1:25">
      <c r="A570" s="2" t="s">
        <v>10</v>
      </c>
      <c r="B570" s="2" t="s">
        <v>16</v>
      </c>
      <c r="C570" s="2">
        <v>1.6413105498873271</v>
      </c>
      <c r="D570" s="2">
        <v>196.42378898483599</v>
      </c>
      <c r="E570" s="2">
        <v>261.00782481220551</v>
      </c>
      <c r="J570" s="4">
        <v>1</v>
      </c>
      <c r="K570" s="4">
        <f t="shared" si="32"/>
        <v>6</v>
      </c>
      <c r="L570" s="4">
        <f t="shared" si="33"/>
        <v>5</v>
      </c>
      <c r="M570" s="4">
        <v>1.6413105498873271</v>
      </c>
      <c r="N570" s="4">
        <v>196.42378898483599</v>
      </c>
      <c r="O570" s="4">
        <v>261.00782481220551</v>
      </c>
      <c r="X570" s="22">
        <f t="shared" si="34"/>
        <v>311.70409606675037</v>
      </c>
      <c r="Y570" s="2">
        <f t="shared" si="35"/>
        <v>2570.1119191143907</v>
      </c>
    </row>
    <row r="571" spans="1:25">
      <c r="A571" s="2" t="s">
        <v>11</v>
      </c>
      <c r="B571" s="2" t="s">
        <v>15</v>
      </c>
      <c r="C571" s="2">
        <v>1.1089762771139871</v>
      </c>
      <c r="D571" s="2">
        <v>46.120453458908251</v>
      </c>
      <c r="E571" s="2">
        <v>83.183649577643791</v>
      </c>
      <c r="J571" s="4">
        <v>1</v>
      </c>
      <c r="K571" s="4">
        <f t="shared" si="32"/>
        <v>7</v>
      </c>
      <c r="L571" s="4">
        <f t="shared" si="33"/>
        <v>4</v>
      </c>
      <c r="M571" s="4">
        <v>1.1089762771139871</v>
      </c>
      <c r="N571" s="4">
        <v>46.120453458908251</v>
      </c>
      <c r="O571" s="4">
        <v>83.183649577643791</v>
      </c>
      <c r="X571" s="22">
        <f t="shared" si="34"/>
        <v>81.216892798153708</v>
      </c>
      <c r="Y571" s="2">
        <f t="shared" si="35"/>
        <v>3.8681322296702043</v>
      </c>
    </row>
    <row r="572" spans="1:25">
      <c r="A572" s="2" t="s">
        <v>7</v>
      </c>
      <c r="B572" s="2" t="s">
        <v>14</v>
      </c>
      <c r="C572" s="2">
        <v>9.6085125846953208</v>
      </c>
      <c r="D572" s="2">
        <v>160.5930720947928</v>
      </c>
      <c r="E572" s="2">
        <v>299.59280103385822</v>
      </c>
      <c r="J572" s="4">
        <v>1</v>
      </c>
      <c r="K572" s="4">
        <f t="shared" si="32"/>
        <v>2</v>
      </c>
      <c r="L572" s="4">
        <f t="shared" si="33"/>
        <v>3</v>
      </c>
      <c r="M572" s="4">
        <v>9.6085125846953208</v>
      </c>
      <c r="N572" s="4">
        <v>160.5930720947928</v>
      </c>
      <c r="O572" s="4">
        <v>299.59280103385822</v>
      </c>
      <c r="X572" s="22">
        <f t="shared" si="34"/>
        <v>359.67075098881912</v>
      </c>
      <c r="Y572" s="2">
        <f t="shared" si="35"/>
        <v>3609.3600707907863</v>
      </c>
    </row>
    <row r="573" spans="1:25">
      <c r="A573" s="2" t="s">
        <v>10</v>
      </c>
      <c r="B573" s="2" t="s">
        <v>15</v>
      </c>
      <c r="C573" s="2">
        <v>7.6375752351310622</v>
      </c>
      <c r="D573" s="2">
        <v>182.50077081812771</v>
      </c>
      <c r="E573" s="2">
        <v>366.78511008040471</v>
      </c>
      <c r="J573" s="4">
        <v>1</v>
      </c>
      <c r="K573" s="4">
        <f t="shared" si="32"/>
        <v>6</v>
      </c>
      <c r="L573" s="4">
        <f t="shared" si="33"/>
        <v>4</v>
      </c>
      <c r="M573" s="4">
        <v>7.6375752351310622</v>
      </c>
      <c r="N573" s="4">
        <v>182.50077081812771</v>
      </c>
      <c r="O573" s="4">
        <v>366.78511008040471</v>
      </c>
      <c r="X573" s="22">
        <f t="shared" si="34"/>
        <v>364.99179095946812</v>
      </c>
      <c r="Y573" s="2">
        <f t="shared" si="35"/>
        <v>3.215993469516774</v>
      </c>
    </row>
    <row r="574" spans="1:25">
      <c r="A574" s="2" t="s">
        <v>6</v>
      </c>
      <c r="B574" s="2" t="s">
        <v>12</v>
      </c>
      <c r="C574" s="2">
        <v>4.1792626765185776</v>
      </c>
      <c r="D574" s="2">
        <v>189.30330263584199</v>
      </c>
      <c r="E574" s="2">
        <v>403.94804039560228</v>
      </c>
      <c r="J574" s="4">
        <v>1</v>
      </c>
      <c r="K574" s="4">
        <f t="shared" si="32"/>
        <v>3</v>
      </c>
      <c r="L574" s="4">
        <f t="shared" si="33"/>
        <v>1</v>
      </c>
      <c r="M574" s="4">
        <v>4.1792626765185776</v>
      </c>
      <c r="N574" s="4">
        <v>189.30330263584199</v>
      </c>
      <c r="O574" s="4">
        <v>403.94804039560228</v>
      </c>
      <c r="X574" s="22">
        <f t="shared" si="34"/>
        <v>335.05160636975484</v>
      </c>
      <c r="Y574" s="2">
        <f t="shared" si="35"/>
        <v>4746.7186214779485</v>
      </c>
    </row>
    <row r="575" spans="1:25">
      <c r="A575" s="2" t="s">
        <v>7</v>
      </c>
      <c r="B575" s="2" t="s">
        <v>15</v>
      </c>
      <c r="C575" s="2">
        <v>3.6688202315888971</v>
      </c>
      <c r="D575" s="2">
        <v>192.42576483703499</v>
      </c>
      <c r="E575" s="2">
        <v>372.3533921807458</v>
      </c>
      <c r="J575" s="4">
        <v>1</v>
      </c>
      <c r="K575" s="4">
        <f t="shared" si="32"/>
        <v>2</v>
      </c>
      <c r="L575" s="4">
        <f t="shared" si="33"/>
        <v>4</v>
      </c>
      <c r="M575" s="4">
        <v>3.6688202315888971</v>
      </c>
      <c r="N575" s="4">
        <v>192.42576483703499</v>
      </c>
      <c r="O575" s="4">
        <v>372.3533921807458</v>
      </c>
      <c r="X575" s="22">
        <f t="shared" si="34"/>
        <v>333.69512533356067</v>
      </c>
      <c r="Y575" s="2">
        <f t="shared" si="35"/>
        <v>1494.4615956281732</v>
      </c>
    </row>
    <row r="576" spans="1:25">
      <c r="A576" s="2" t="s">
        <v>5</v>
      </c>
      <c r="B576" s="2" t="s">
        <v>14</v>
      </c>
      <c r="C576" s="2">
        <v>4.1473290677126462</v>
      </c>
      <c r="D576" s="2">
        <v>109.0773313570797</v>
      </c>
      <c r="E576" s="2">
        <v>235.27695770627511</v>
      </c>
      <c r="J576" s="4">
        <v>1</v>
      </c>
      <c r="K576" s="4">
        <f t="shared" si="32"/>
        <v>1</v>
      </c>
      <c r="L576" s="4">
        <f t="shared" si="33"/>
        <v>3</v>
      </c>
      <c r="M576" s="4">
        <v>4.1473290677126462</v>
      </c>
      <c r="N576" s="4">
        <v>109.0773313570797</v>
      </c>
      <c r="O576" s="4">
        <v>235.27695770627511</v>
      </c>
      <c r="X576" s="22">
        <f t="shared" si="34"/>
        <v>216.56985000405339</v>
      </c>
      <c r="Y576" s="2">
        <f t="shared" si="35"/>
        <v>349.95587858252321</v>
      </c>
    </row>
    <row r="577" spans="1:25">
      <c r="A577" s="2" t="s">
        <v>11</v>
      </c>
      <c r="B577" s="2" t="s">
        <v>12</v>
      </c>
      <c r="C577" s="2">
        <v>7.9718817806306363</v>
      </c>
      <c r="D577" s="2">
        <v>195.68850251838569</v>
      </c>
      <c r="E577" s="2">
        <v>458.57066132130552</v>
      </c>
      <c r="J577" s="4">
        <v>1</v>
      </c>
      <c r="K577" s="4">
        <f t="shared" si="32"/>
        <v>7</v>
      </c>
      <c r="L577" s="4">
        <f t="shared" si="33"/>
        <v>1</v>
      </c>
      <c r="M577" s="4">
        <v>7.9718817806306363</v>
      </c>
      <c r="N577" s="4">
        <v>195.68850251838569</v>
      </c>
      <c r="O577" s="4">
        <v>458.57066132130552</v>
      </c>
      <c r="X577" s="22">
        <f t="shared" si="34"/>
        <v>388.41774253728971</v>
      </c>
      <c r="Y577" s="2">
        <f t="shared" si="35"/>
        <v>4921.4320139167185</v>
      </c>
    </row>
    <row r="578" spans="1:25">
      <c r="A578" s="2" t="s">
        <v>10</v>
      </c>
      <c r="B578" s="2" t="s">
        <v>15</v>
      </c>
      <c r="C578" s="2">
        <v>6.9523354996337297</v>
      </c>
      <c r="D578" s="2">
        <v>153.88893935554341</v>
      </c>
      <c r="E578" s="2">
        <v>272.84150582316789</v>
      </c>
      <c r="J578" s="4">
        <v>1</v>
      </c>
      <c r="K578" s="4">
        <f t="shared" si="32"/>
        <v>6</v>
      </c>
      <c r="L578" s="4">
        <f t="shared" si="33"/>
        <v>4</v>
      </c>
      <c r="M578" s="4">
        <v>6.9523354996337297</v>
      </c>
      <c r="N578" s="4">
        <v>153.88893935554341</v>
      </c>
      <c r="O578" s="4">
        <v>272.84150582316789</v>
      </c>
      <c r="X578" s="22">
        <f t="shared" si="34"/>
        <v>314.03377533469711</v>
      </c>
      <c r="Y578" s="2">
        <f t="shared" si="35"/>
        <v>1696.8030675104596</v>
      </c>
    </row>
    <row r="579" spans="1:25">
      <c r="A579" s="2" t="s">
        <v>10</v>
      </c>
      <c r="B579" s="2" t="s">
        <v>16</v>
      </c>
      <c r="C579" s="2">
        <v>2.666760110807211</v>
      </c>
      <c r="D579" s="2">
        <v>40.717572885022761</v>
      </c>
      <c r="E579" s="2">
        <v>114.56729340271001</v>
      </c>
      <c r="J579" s="4">
        <v>1</v>
      </c>
      <c r="K579" s="4">
        <f t="shared" si="32"/>
        <v>6</v>
      </c>
      <c r="L579" s="4">
        <f t="shared" si="33"/>
        <v>5</v>
      </c>
      <c r="M579" s="4">
        <v>2.666760110807211</v>
      </c>
      <c r="N579" s="4">
        <v>40.717572885022761</v>
      </c>
      <c r="O579" s="4">
        <v>114.56729340271001</v>
      </c>
      <c r="X579" s="22">
        <f t="shared" si="34"/>
        <v>92.937955664509232</v>
      </c>
      <c r="Y579" s="2">
        <f t="shared" si="35"/>
        <v>467.82825099315619</v>
      </c>
    </row>
    <row r="580" spans="1:25">
      <c r="A580" s="2" t="s">
        <v>10</v>
      </c>
      <c r="B580" s="2" t="s">
        <v>17</v>
      </c>
      <c r="C580" s="2">
        <v>2.5669840180067589</v>
      </c>
      <c r="D580" s="2">
        <v>100.6110202289143</v>
      </c>
      <c r="E580" s="2">
        <v>140.56561789835911</v>
      </c>
      <c r="J580" s="4">
        <v>1</v>
      </c>
      <c r="K580" s="4">
        <f t="shared" ref="K580:K643" si="36">VLOOKUP(A580, $F$3:$G$9, 2, FALSE)</f>
        <v>6</v>
      </c>
      <c r="L580" s="4">
        <f t="shared" ref="L580:L643" si="37">VLOOKUP(B580, $H$3:$I$8, 2, FALSE)</f>
        <v>6</v>
      </c>
      <c r="M580" s="4">
        <v>2.5669840180067589</v>
      </c>
      <c r="N580" s="4">
        <v>100.6110202289143</v>
      </c>
      <c r="O580" s="4">
        <v>140.56561789835911</v>
      </c>
      <c r="X580" s="22">
        <f t="shared" ref="X580:X643" si="38">$U$16+$U$17*K580+$U$18*L580+$U$19*M580+$U$20*N580</f>
        <v>180.57727919739023</v>
      </c>
      <c r="Y580" s="2">
        <f t="shared" ref="Y580:Y643" si="39">POWER(O580-X580,2)</f>
        <v>1600.9330399083844</v>
      </c>
    </row>
    <row r="581" spans="1:25">
      <c r="A581" s="2" t="s">
        <v>6</v>
      </c>
      <c r="B581" s="2" t="s">
        <v>12</v>
      </c>
      <c r="C581" s="2">
        <v>1.8855608474205761</v>
      </c>
      <c r="D581" s="2">
        <v>146.48292332068081</v>
      </c>
      <c r="E581" s="2">
        <v>209.5261504732841</v>
      </c>
      <c r="J581" s="4">
        <v>1</v>
      </c>
      <c r="K581" s="4">
        <f t="shared" si="36"/>
        <v>3</v>
      </c>
      <c r="L581" s="4">
        <f t="shared" si="37"/>
        <v>1</v>
      </c>
      <c r="M581" s="4">
        <v>1.8855608474205761</v>
      </c>
      <c r="N581" s="4">
        <v>146.48292332068081</v>
      </c>
      <c r="O581" s="4">
        <v>209.5261504732841</v>
      </c>
      <c r="X581" s="22">
        <f t="shared" si="38"/>
        <v>243.17140525475179</v>
      </c>
      <c r="Y581" s="2">
        <f t="shared" si="39"/>
        <v>1132.003169309874</v>
      </c>
    </row>
    <row r="582" spans="1:25">
      <c r="A582" s="2" t="s">
        <v>7</v>
      </c>
      <c r="B582" s="2" t="s">
        <v>17</v>
      </c>
      <c r="C582" s="2">
        <v>6.9427244773120433</v>
      </c>
      <c r="D582" s="2">
        <v>56.994660005625832</v>
      </c>
      <c r="E582" s="2">
        <v>152.04425892819361</v>
      </c>
      <c r="J582" s="4">
        <v>1</v>
      </c>
      <c r="K582" s="4">
        <f t="shared" si="36"/>
        <v>2</v>
      </c>
      <c r="L582" s="4">
        <f t="shared" si="37"/>
        <v>6</v>
      </c>
      <c r="M582" s="4">
        <v>6.9427244773120433</v>
      </c>
      <c r="N582" s="4">
        <v>56.994660005625832</v>
      </c>
      <c r="O582" s="4">
        <v>152.04425892819361</v>
      </c>
      <c r="X582" s="22">
        <f t="shared" si="38"/>
        <v>172.46929059931858</v>
      </c>
      <c r="Y582" s="2">
        <f t="shared" si="39"/>
        <v>417.18191876645807</v>
      </c>
    </row>
    <row r="583" spans="1:25">
      <c r="A583" s="2" t="s">
        <v>6</v>
      </c>
      <c r="B583" s="2" t="s">
        <v>12</v>
      </c>
      <c r="C583" s="2">
        <v>7.8793539599956226</v>
      </c>
      <c r="D583" s="2">
        <v>131.71688487428861</v>
      </c>
      <c r="E583" s="2">
        <v>335.8391217779573</v>
      </c>
      <c r="J583" s="4">
        <v>1</v>
      </c>
      <c r="K583" s="4">
        <f t="shared" si="36"/>
        <v>3</v>
      </c>
      <c r="L583" s="4">
        <f t="shared" si="37"/>
        <v>1</v>
      </c>
      <c r="M583" s="4">
        <v>7.8793539599956226</v>
      </c>
      <c r="N583" s="4">
        <v>131.71688487428861</v>
      </c>
      <c r="O583" s="4">
        <v>335.8391217779573</v>
      </c>
      <c r="X583" s="22">
        <f t="shared" si="38"/>
        <v>295.03667454162161</v>
      </c>
      <c r="Y583" s="2">
        <f t="shared" si="39"/>
        <v>1664.8397004739584</v>
      </c>
    </row>
    <row r="584" spans="1:25">
      <c r="A584" s="2" t="s">
        <v>9</v>
      </c>
      <c r="B584" s="2" t="s">
        <v>16</v>
      </c>
      <c r="C584" s="2">
        <v>3.385417854925036</v>
      </c>
      <c r="D584" s="2">
        <v>136.65409101885771</v>
      </c>
      <c r="E584" s="2">
        <v>188.38072845151891</v>
      </c>
      <c r="J584" s="4">
        <v>1</v>
      </c>
      <c r="K584" s="4">
        <f t="shared" si="36"/>
        <v>5</v>
      </c>
      <c r="L584" s="4">
        <f t="shared" si="37"/>
        <v>5</v>
      </c>
      <c r="M584" s="4">
        <v>3.385417854925036</v>
      </c>
      <c r="N584" s="4">
        <v>136.65409101885771</v>
      </c>
      <c r="O584" s="4">
        <v>188.38072845151891</v>
      </c>
      <c r="X584" s="22">
        <f t="shared" si="38"/>
        <v>245.06468057632142</v>
      </c>
      <c r="Y584" s="2">
        <f t="shared" si="39"/>
        <v>3213.0704284869039</v>
      </c>
    </row>
    <row r="585" spans="1:25">
      <c r="A585" s="2" t="s">
        <v>9</v>
      </c>
      <c r="B585" s="2" t="s">
        <v>17</v>
      </c>
      <c r="C585" s="2">
        <v>1.188504649278215</v>
      </c>
      <c r="D585" s="2">
        <v>40.912951323627517</v>
      </c>
      <c r="E585" s="2">
        <v>97.964513215732396</v>
      </c>
      <c r="J585" s="4">
        <v>1</v>
      </c>
      <c r="K585" s="4">
        <f t="shared" si="36"/>
        <v>5</v>
      </c>
      <c r="L585" s="4">
        <f t="shared" si="37"/>
        <v>6</v>
      </c>
      <c r="M585" s="4">
        <v>1.188504649278215</v>
      </c>
      <c r="N585" s="4">
        <v>40.912951323627517</v>
      </c>
      <c r="O585" s="4">
        <v>97.964513215732396</v>
      </c>
      <c r="X585" s="22">
        <f t="shared" si="38"/>
        <v>75.592053205398543</v>
      </c>
      <c r="Y585" s="2">
        <f t="shared" si="39"/>
        <v>500.52696691398745</v>
      </c>
    </row>
    <row r="586" spans="1:25">
      <c r="A586" s="2" t="s">
        <v>7</v>
      </c>
      <c r="B586" s="2" t="s">
        <v>13</v>
      </c>
      <c r="C586" s="2">
        <v>1.739545007287846</v>
      </c>
      <c r="D586" s="2">
        <v>117.3662093660237</v>
      </c>
      <c r="E586" s="2">
        <v>197.2012942179152</v>
      </c>
      <c r="J586" s="4">
        <v>1</v>
      </c>
      <c r="K586" s="4">
        <f t="shared" si="36"/>
        <v>2</v>
      </c>
      <c r="L586" s="4">
        <f t="shared" si="37"/>
        <v>2</v>
      </c>
      <c r="M586" s="4">
        <v>1.739545007287846</v>
      </c>
      <c r="N586" s="4">
        <v>117.3662093660237</v>
      </c>
      <c r="O586" s="4">
        <v>197.2012942179152</v>
      </c>
      <c r="X586" s="22">
        <f t="shared" si="38"/>
        <v>198.67054458263286</v>
      </c>
      <c r="Y586" s="2">
        <f t="shared" si="39"/>
        <v>2.1586966342229541</v>
      </c>
    </row>
    <row r="587" spans="1:25">
      <c r="A587" s="2" t="s">
        <v>5</v>
      </c>
      <c r="B587" s="2" t="s">
        <v>14</v>
      </c>
      <c r="C587" s="2">
        <v>9.7107403136052746</v>
      </c>
      <c r="D587" s="2">
        <v>156.60911308593549</v>
      </c>
      <c r="E587" s="2">
        <v>427.30168630291098</v>
      </c>
      <c r="J587" s="4">
        <v>1</v>
      </c>
      <c r="K587" s="4">
        <f t="shared" si="36"/>
        <v>1</v>
      </c>
      <c r="L587" s="4">
        <f t="shared" si="37"/>
        <v>3</v>
      </c>
      <c r="M587" s="4">
        <v>9.7107403136052746</v>
      </c>
      <c r="N587" s="4">
        <v>156.60911308593549</v>
      </c>
      <c r="O587" s="4">
        <v>427.30168630291098</v>
      </c>
      <c r="X587" s="22">
        <f t="shared" si="38"/>
        <v>355.71559015017374</v>
      </c>
      <c r="Y587" s="2">
        <f t="shared" si="39"/>
        <v>5124.5691623889415</v>
      </c>
    </row>
    <row r="588" spans="1:25">
      <c r="A588" s="2" t="s">
        <v>6</v>
      </c>
      <c r="B588" s="2" t="s">
        <v>13</v>
      </c>
      <c r="C588" s="2">
        <v>3.6590029972967821</v>
      </c>
      <c r="D588" s="2">
        <v>104.790176261829</v>
      </c>
      <c r="E588" s="2">
        <v>213.79474555226571</v>
      </c>
      <c r="J588" s="4">
        <v>1</v>
      </c>
      <c r="K588" s="4">
        <f t="shared" si="36"/>
        <v>3</v>
      </c>
      <c r="L588" s="4">
        <f t="shared" si="37"/>
        <v>2</v>
      </c>
      <c r="M588" s="4">
        <v>3.6590029972967821</v>
      </c>
      <c r="N588" s="4">
        <v>104.790176261829</v>
      </c>
      <c r="O588" s="4">
        <v>213.79474555226571</v>
      </c>
      <c r="X588" s="22">
        <f t="shared" si="38"/>
        <v>202.91154106789827</v>
      </c>
      <c r="Y588" s="2">
        <f t="shared" si="39"/>
        <v>118.44413984855555</v>
      </c>
    </row>
    <row r="589" spans="1:25">
      <c r="A589" s="2" t="s">
        <v>11</v>
      </c>
      <c r="B589" s="2" t="s">
        <v>15</v>
      </c>
      <c r="C589" s="2">
        <v>7.9230083305432029</v>
      </c>
      <c r="D589" s="2">
        <v>12.29959218746041</v>
      </c>
      <c r="E589" s="2">
        <v>159.8473448126052</v>
      </c>
      <c r="J589" s="4">
        <v>1</v>
      </c>
      <c r="K589" s="4">
        <f t="shared" si="36"/>
        <v>7</v>
      </c>
      <c r="L589" s="4">
        <f t="shared" si="37"/>
        <v>4</v>
      </c>
      <c r="M589" s="4">
        <v>7.9230083305432029</v>
      </c>
      <c r="N589" s="4">
        <v>12.29959218746041</v>
      </c>
      <c r="O589" s="4">
        <v>159.8473448126052</v>
      </c>
      <c r="X589" s="22">
        <f t="shared" si="38"/>
        <v>114.86555493171061</v>
      </c>
      <c r="Y589" s="2">
        <f t="shared" si="39"/>
        <v>2023.3614208889514</v>
      </c>
    </row>
    <row r="590" spans="1:25">
      <c r="A590" s="2" t="s">
        <v>10</v>
      </c>
      <c r="B590" s="2" t="s">
        <v>16</v>
      </c>
      <c r="C590" s="2">
        <v>6.6219721196883743</v>
      </c>
      <c r="D590" s="2">
        <v>11.71730912506551</v>
      </c>
      <c r="E590" s="2">
        <v>146.33931822425319</v>
      </c>
      <c r="J590" s="4">
        <v>1</v>
      </c>
      <c r="K590" s="4">
        <f t="shared" si="36"/>
        <v>6</v>
      </c>
      <c r="L590" s="4">
        <f t="shared" si="37"/>
        <v>5</v>
      </c>
      <c r="M590" s="4">
        <v>6.6219721196883743</v>
      </c>
      <c r="N590" s="4">
        <v>11.71730912506551</v>
      </c>
      <c r="O590" s="4">
        <v>146.33931822425319</v>
      </c>
      <c r="X590" s="22">
        <f t="shared" si="38"/>
        <v>98.546294957022084</v>
      </c>
      <c r="Y590" s="2">
        <f t="shared" si="39"/>
        <v>2284.1730730220938</v>
      </c>
    </row>
    <row r="591" spans="1:25">
      <c r="A591" s="2" t="s">
        <v>10</v>
      </c>
      <c r="B591" s="2" t="s">
        <v>13</v>
      </c>
      <c r="C591" s="2">
        <v>4.4374567568760632</v>
      </c>
      <c r="D591" s="2">
        <v>77.835575354302321</v>
      </c>
      <c r="E591" s="2">
        <v>130.813303698227</v>
      </c>
      <c r="J591" s="4">
        <v>1</v>
      </c>
      <c r="K591" s="4">
        <f t="shared" si="36"/>
        <v>6</v>
      </c>
      <c r="L591" s="4">
        <f t="shared" si="37"/>
        <v>2</v>
      </c>
      <c r="M591" s="4">
        <v>4.4374567568760632</v>
      </c>
      <c r="N591" s="4">
        <v>77.835575354302321</v>
      </c>
      <c r="O591" s="4">
        <v>130.813303698227</v>
      </c>
      <c r="X591" s="22">
        <f t="shared" si="38"/>
        <v>170.32104586234149</v>
      </c>
      <c r="Y591" s="2">
        <f t="shared" si="39"/>
        <v>1560.8616909061498</v>
      </c>
    </row>
    <row r="592" spans="1:25">
      <c r="A592" s="2" t="s">
        <v>7</v>
      </c>
      <c r="B592" s="2" t="s">
        <v>12</v>
      </c>
      <c r="C592" s="2">
        <v>2.8511853597599961</v>
      </c>
      <c r="D592" s="2">
        <v>185.97687300203859</v>
      </c>
      <c r="E592" s="2">
        <v>309.85214761330047</v>
      </c>
      <c r="J592" s="4">
        <v>1</v>
      </c>
      <c r="K592" s="4">
        <f t="shared" si="36"/>
        <v>2</v>
      </c>
      <c r="L592" s="4">
        <f t="shared" si="37"/>
        <v>1</v>
      </c>
      <c r="M592" s="4">
        <v>2.8511853597599961</v>
      </c>
      <c r="N592" s="4">
        <v>185.97687300203859</v>
      </c>
      <c r="O592" s="4">
        <v>309.85214761330047</v>
      </c>
      <c r="X592" s="22">
        <f t="shared" si="38"/>
        <v>314.46048600216801</v>
      </c>
      <c r="Y592" s="2">
        <f t="shared" si="39"/>
        <v>21.236782706310247</v>
      </c>
    </row>
    <row r="593" spans="1:25">
      <c r="A593" s="2" t="s">
        <v>5</v>
      </c>
      <c r="B593" s="2" t="s">
        <v>15</v>
      </c>
      <c r="C593" s="2">
        <v>2.0924777634346579</v>
      </c>
      <c r="D593" s="2">
        <v>53.448588124685656</v>
      </c>
      <c r="E593" s="2">
        <v>87.398740208188443</v>
      </c>
      <c r="J593" s="4">
        <v>1</v>
      </c>
      <c r="K593" s="4">
        <f t="shared" si="36"/>
        <v>1</v>
      </c>
      <c r="L593" s="4">
        <f t="shared" si="37"/>
        <v>4</v>
      </c>
      <c r="M593" s="4">
        <v>2.0924777634346579</v>
      </c>
      <c r="N593" s="4">
        <v>53.448588124685656</v>
      </c>
      <c r="O593" s="4">
        <v>87.398740208188443</v>
      </c>
      <c r="X593" s="22">
        <f t="shared" si="38"/>
        <v>108.4573180188673</v>
      </c>
      <c r="Y593" s="2">
        <f t="shared" si="39"/>
        <v>443.46369940841583</v>
      </c>
    </row>
    <row r="594" spans="1:25">
      <c r="A594" s="2" t="s">
        <v>9</v>
      </c>
      <c r="B594" s="2" t="s">
        <v>15</v>
      </c>
      <c r="C594" s="2">
        <v>6.5351167123498</v>
      </c>
      <c r="D594" s="2">
        <v>130.52910088562061</v>
      </c>
      <c r="E594" s="2">
        <v>289.35433554737602</v>
      </c>
      <c r="J594" s="4">
        <v>1</v>
      </c>
      <c r="K594" s="4">
        <f t="shared" si="36"/>
        <v>5</v>
      </c>
      <c r="L594" s="4">
        <f t="shared" si="37"/>
        <v>4</v>
      </c>
      <c r="M594" s="4">
        <v>6.5351167123498</v>
      </c>
      <c r="N594" s="4">
        <v>130.52910088562061</v>
      </c>
      <c r="O594" s="4">
        <v>289.35433554737602</v>
      </c>
      <c r="X594" s="22">
        <f t="shared" si="38"/>
        <v>274.88768962686066</v>
      </c>
      <c r="Y594" s="2">
        <f t="shared" si="39"/>
        <v>209.28384418956375</v>
      </c>
    </row>
    <row r="595" spans="1:25">
      <c r="A595" s="2" t="s">
        <v>9</v>
      </c>
      <c r="B595" s="2" t="s">
        <v>13</v>
      </c>
      <c r="C595" s="2">
        <v>7.9717040257400917</v>
      </c>
      <c r="D595" s="2">
        <v>52.19441543173091</v>
      </c>
      <c r="E595" s="2">
        <v>160.14950880410049</v>
      </c>
      <c r="J595" s="4">
        <v>1</v>
      </c>
      <c r="K595" s="4">
        <f t="shared" si="36"/>
        <v>5</v>
      </c>
      <c r="L595" s="4">
        <f t="shared" si="37"/>
        <v>2</v>
      </c>
      <c r="M595" s="4">
        <v>7.9717040257400917</v>
      </c>
      <c r="N595" s="4">
        <v>52.19441543173091</v>
      </c>
      <c r="O595" s="4">
        <v>160.14950880410049</v>
      </c>
      <c r="X595" s="22">
        <f t="shared" si="38"/>
        <v>176.44397775095888</v>
      </c>
      <c r="Y595" s="2">
        <f t="shared" si="39"/>
        <v>265.50971826013227</v>
      </c>
    </row>
    <row r="596" spans="1:25">
      <c r="A596" s="2" t="s">
        <v>10</v>
      </c>
      <c r="B596" s="2" t="s">
        <v>13</v>
      </c>
      <c r="C596" s="2">
        <v>6.7951382818701758</v>
      </c>
      <c r="D596" s="2">
        <v>71.117298035314235</v>
      </c>
      <c r="E596" s="2">
        <v>203.71052490816641</v>
      </c>
      <c r="J596" s="4">
        <v>1</v>
      </c>
      <c r="K596" s="4">
        <f t="shared" si="36"/>
        <v>6</v>
      </c>
      <c r="L596" s="4">
        <f t="shared" si="37"/>
        <v>2</v>
      </c>
      <c r="M596" s="4">
        <v>6.7951382818701758</v>
      </c>
      <c r="N596" s="4">
        <v>71.117298035314235</v>
      </c>
      <c r="O596" s="4">
        <v>203.71052490816641</v>
      </c>
      <c r="X596" s="22">
        <f t="shared" si="38"/>
        <v>189.37010571649719</v>
      </c>
      <c r="Y596" s="2">
        <f t="shared" si="39"/>
        <v>205.64762259279468</v>
      </c>
    </row>
    <row r="597" spans="1:25">
      <c r="A597" s="2" t="s">
        <v>7</v>
      </c>
      <c r="B597" s="2" t="s">
        <v>16</v>
      </c>
      <c r="C597" s="2">
        <v>5.7727191992424247</v>
      </c>
      <c r="D597" s="2">
        <v>171.127997024282</v>
      </c>
      <c r="E597" s="2">
        <v>255.87559649847771</v>
      </c>
      <c r="J597" s="4">
        <v>1</v>
      </c>
      <c r="K597" s="4">
        <f t="shared" si="36"/>
        <v>2</v>
      </c>
      <c r="L597" s="4">
        <f t="shared" si="37"/>
        <v>5</v>
      </c>
      <c r="M597" s="4">
        <v>5.7727191992424247</v>
      </c>
      <c r="N597" s="4">
        <v>171.127997024282</v>
      </c>
      <c r="O597" s="4">
        <v>255.87559649847771</v>
      </c>
      <c r="X597" s="22">
        <f t="shared" si="38"/>
        <v>327.81339900918687</v>
      </c>
      <c r="Y597" s="2">
        <f t="shared" si="39"/>
        <v>5175.0474300697933</v>
      </c>
    </row>
    <row r="598" spans="1:25">
      <c r="A598" s="2" t="s">
        <v>6</v>
      </c>
      <c r="B598" s="2" t="s">
        <v>14</v>
      </c>
      <c r="C598" s="2">
        <v>1.377561010884726</v>
      </c>
      <c r="D598" s="2">
        <v>148.48367403128989</v>
      </c>
      <c r="E598" s="2">
        <v>256.8145891699711</v>
      </c>
      <c r="J598" s="4">
        <v>1</v>
      </c>
      <c r="K598" s="4">
        <f t="shared" si="36"/>
        <v>3</v>
      </c>
      <c r="L598" s="4">
        <f t="shared" si="37"/>
        <v>3</v>
      </c>
      <c r="M598" s="4">
        <v>1.377561010884726</v>
      </c>
      <c r="N598" s="4">
        <v>148.48367403128989</v>
      </c>
      <c r="O598" s="4">
        <v>256.8145891699711</v>
      </c>
      <c r="X598" s="22">
        <f t="shared" si="38"/>
        <v>239.61070812611109</v>
      </c>
      <c r="Y598" s="2">
        <f t="shared" si="39"/>
        <v>295.97352297128572</v>
      </c>
    </row>
    <row r="599" spans="1:25">
      <c r="A599" s="2" t="s">
        <v>9</v>
      </c>
      <c r="B599" s="2" t="s">
        <v>13</v>
      </c>
      <c r="C599" s="2">
        <v>9.7163989983494545</v>
      </c>
      <c r="D599" s="2">
        <v>28.125862689510019</v>
      </c>
      <c r="E599" s="2">
        <v>118.9586839610531</v>
      </c>
      <c r="J599" s="4">
        <v>1</v>
      </c>
      <c r="K599" s="4">
        <f t="shared" si="36"/>
        <v>5</v>
      </c>
      <c r="L599" s="4">
        <f t="shared" si="37"/>
        <v>2</v>
      </c>
      <c r="M599" s="4">
        <v>9.7163989983494545</v>
      </c>
      <c r="N599" s="4">
        <v>28.125862689510019</v>
      </c>
      <c r="O599" s="4">
        <v>118.9586839610531</v>
      </c>
      <c r="X599" s="22">
        <f t="shared" si="38"/>
        <v>162.16047298296235</v>
      </c>
      <c r="Y599" s="2">
        <f t="shared" si="39"/>
        <v>1866.3945746935585</v>
      </c>
    </row>
    <row r="600" spans="1:25">
      <c r="A600" s="2" t="s">
        <v>6</v>
      </c>
      <c r="B600" s="2" t="s">
        <v>13</v>
      </c>
      <c r="C600" s="2">
        <v>8.1884277248911701</v>
      </c>
      <c r="D600" s="2">
        <v>91.453383987422384</v>
      </c>
      <c r="E600" s="2">
        <v>225.32379777381701</v>
      </c>
      <c r="J600" s="4">
        <v>1</v>
      </c>
      <c r="K600" s="4">
        <f t="shared" si="36"/>
        <v>3</v>
      </c>
      <c r="L600" s="4">
        <f t="shared" si="37"/>
        <v>2</v>
      </c>
      <c r="M600" s="4">
        <v>8.1884277248911701</v>
      </c>
      <c r="N600" s="4">
        <v>91.453383987422384</v>
      </c>
      <c r="O600" s="4">
        <v>225.32379777381701</v>
      </c>
      <c r="X600" s="22">
        <f t="shared" si="38"/>
        <v>238.86822912091128</v>
      </c>
      <c r="Y600" s="2">
        <f t="shared" si="39"/>
        <v>183.45162051615003</v>
      </c>
    </row>
    <row r="601" spans="1:25">
      <c r="A601" s="2" t="s">
        <v>5</v>
      </c>
      <c r="B601" s="2" t="s">
        <v>17</v>
      </c>
      <c r="C601" s="2">
        <v>3.635398330308683</v>
      </c>
      <c r="D601" s="2">
        <v>15.54225509260025</v>
      </c>
      <c r="E601" s="2">
        <v>67.685802108222489</v>
      </c>
      <c r="J601" s="4">
        <v>1</v>
      </c>
      <c r="K601" s="4">
        <f t="shared" si="36"/>
        <v>1</v>
      </c>
      <c r="L601" s="4">
        <f t="shared" si="37"/>
        <v>6</v>
      </c>
      <c r="M601" s="4">
        <v>3.635398330308683</v>
      </c>
      <c r="N601" s="4">
        <v>15.54225509260025</v>
      </c>
      <c r="O601" s="4">
        <v>67.685802108222489</v>
      </c>
      <c r="X601" s="22">
        <f t="shared" si="38"/>
        <v>70.846532769332683</v>
      </c>
      <c r="Y601" s="2">
        <f t="shared" si="39"/>
        <v>9.9902183120820798</v>
      </c>
    </row>
    <row r="602" spans="1:25">
      <c r="A602" s="2" t="s">
        <v>9</v>
      </c>
      <c r="B602" s="2" t="s">
        <v>12</v>
      </c>
      <c r="C602" s="2">
        <v>9.8197329642296562</v>
      </c>
      <c r="D602" s="2">
        <v>101.3691278545717</v>
      </c>
      <c r="E602" s="2">
        <v>310.04148744929108</v>
      </c>
      <c r="J602" s="4">
        <v>1</v>
      </c>
      <c r="K602" s="4">
        <f t="shared" si="36"/>
        <v>5</v>
      </c>
      <c r="L602" s="4">
        <f t="shared" si="37"/>
        <v>1</v>
      </c>
      <c r="M602" s="4">
        <v>9.8197329642296562</v>
      </c>
      <c r="N602" s="4">
        <v>101.3691278545717</v>
      </c>
      <c r="O602" s="4">
        <v>310.04148744929108</v>
      </c>
      <c r="X602" s="22">
        <f t="shared" si="38"/>
        <v>272.41836740931927</v>
      </c>
      <c r="Y602" s="2">
        <f t="shared" si="39"/>
        <v>1415.4991615421284</v>
      </c>
    </row>
    <row r="603" spans="1:25">
      <c r="A603" s="2" t="s">
        <v>9</v>
      </c>
      <c r="B603" s="2" t="s">
        <v>17</v>
      </c>
      <c r="C603" s="2">
        <v>6.4169343067268994</v>
      </c>
      <c r="D603" s="2">
        <v>135.86246222320301</v>
      </c>
      <c r="E603" s="2">
        <v>321.35500022239381</v>
      </c>
      <c r="J603" s="4">
        <v>1</v>
      </c>
      <c r="K603" s="4">
        <f t="shared" si="36"/>
        <v>5</v>
      </c>
      <c r="L603" s="4">
        <f t="shared" si="37"/>
        <v>6</v>
      </c>
      <c r="M603" s="4">
        <v>6.4169343067268994</v>
      </c>
      <c r="N603" s="4">
        <v>135.86246222320301</v>
      </c>
      <c r="O603" s="4">
        <v>321.35500022239381</v>
      </c>
      <c r="X603" s="22">
        <f t="shared" si="38"/>
        <v>281.07986096679474</v>
      </c>
      <c r="Y603" s="2">
        <f t="shared" si="39"/>
        <v>1622.0868420578975</v>
      </c>
    </row>
    <row r="604" spans="1:25">
      <c r="A604" s="2" t="s">
        <v>8</v>
      </c>
      <c r="B604" s="2" t="s">
        <v>17</v>
      </c>
      <c r="C604" s="2">
        <v>6.2418039238652181</v>
      </c>
      <c r="D604" s="2">
        <v>32.515498483648798</v>
      </c>
      <c r="E604" s="2">
        <v>150.31264803676549</v>
      </c>
      <c r="J604" s="4">
        <v>1</v>
      </c>
      <c r="K604" s="4">
        <f t="shared" si="36"/>
        <v>4</v>
      </c>
      <c r="L604" s="4">
        <f t="shared" si="37"/>
        <v>6</v>
      </c>
      <c r="M604" s="4">
        <v>6.2418039238652181</v>
      </c>
      <c r="N604" s="4">
        <v>32.515498483648798</v>
      </c>
      <c r="O604" s="4">
        <v>150.31264803676549</v>
      </c>
      <c r="X604" s="22">
        <f t="shared" si="38"/>
        <v>126.04667988518442</v>
      </c>
      <c r="Y604" s="2">
        <f t="shared" si="39"/>
        <v>588.8372103335472</v>
      </c>
    </row>
    <row r="605" spans="1:25">
      <c r="A605" s="2" t="s">
        <v>9</v>
      </c>
      <c r="B605" s="2" t="s">
        <v>15</v>
      </c>
      <c r="C605" s="2">
        <v>7.7326586148657892</v>
      </c>
      <c r="D605" s="2">
        <v>64.888138392741467</v>
      </c>
      <c r="E605" s="2">
        <v>149.792226360277</v>
      </c>
      <c r="J605" s="4">
        <v>1</v>
      </c>
      <c r="K605" s="4">
        <f t="shared" si="36"/>
        <v>5</v>
      </c>
      <c r="L605" s="4">
        <f t="shared" si="37"/>
        <v>4</v>
      </c>
      <c r="M605" s="4">
        <v>7.7326586148657892</v>
      </c>
      <c r="N605" s="4">
        <v>64.888138392741467</v>
      </c>
      <c r="O605" s="4">
        <v>149.792226360277</v>
      </c>
      <c r="X605" s="22">
        <f t="shared" si="38"/>
        <v>192.08598860279508</v>
      </c>
      <c r="Y605" s="2">
        <f t="shared" si="39"/>
        <v>1788.7623246266485</v>
      </c>
    </row>
    <row r="606" spans="1:25">
      <c r="A606" s="2" t="s">
        <v>11</v>
      </c>
      <c r="B606" s="2" t="s">
        <v>14</v>
      </c>
      <c r="C606" s="2">
        <v>8.3059280928112376</v>
      </c>
      <c r="D606" s="2">
        <v>85.58895884540982</v>
      </c>
      <c r="E606" s="2">
        <v>241.53396597639789</v>
      </c>
      <c r="J606" s="4">
        <v>1</v>
      </c>
      <c r="K606" s="4">
        <f t="shared" si="36"/>
        <v>7</v>
      </c>
      <c r="L606" s="4">
        <f t="shared" si="37"/>
        <v>3</v>
      </c>
      <c r="M606" s="4">
        <v>8.3059280928112376</v>
      </c>
      <c r="N606" s="4">
        <v>85.58895884540982</v>
      </c>
      <c r="O606" s="4">
        <v>241.53396597639789</v>
      </c>
      <c r="X606" s="22">
        <f t="shared" si="38"/>
        <v>228.63484488089821</v>
      </c>
      <c r="Y606" s="2">
        <f t="shared" si="39"/>
        <v>166.38732503636487</v>
      </c>
    </row>
    <row r="607" spans="1:25">
      <c r="A607" s="2" t="s">
        <v>7</v>
      </c>
      <c r="B607" s="2" t="s">
        <v>12</v>
      </c>
      <c r="C607" s="2">
        <v>6.9083074659835244</v>
      </c>
      <c r="D607" s="2">
        <v>184.71089468464939</v>
      </c>
      <c r="E607" s="2">
        <v>300.80187351275572</v>
      </c>
      <c r="J607" s="4">
        <v>1</v>
      </c>
      <c r="K607" s="4">
        <f t="shared" si="36"/>
        <v>2</v>
      </c>
      <c r="L607" s="4">
        <f t="shared" si="37"/>
        <v>1</v>
      </c>
      <c r="M607" s="4">
        <v>6.9083074659835244</v>
      </c>
      <c r="N607" s="4">
        <v>184.71089468464939</v>
      </c>
      <c r="O607" s="4">
        <v>300.80187351275572</v>
      </c>
      <c r="X607" s="22">
        <f t="shared" si="38"/>
        <v>362.53947007660344</v>
      </c>
      <c r="Y607" s="2">
        <f t="shared" si="39"/>
        <v>3811.5308294804213</v>
      </c>
    </row>
    <row r="608" spans="1:25">
      <c r="A608" s="2" t="s">
        <v>7</v>
      </c>
      <c r="B608" s="2" t="s">
        <v>16</v>
      </c>
      <c r="C608" s="2">
        <v>2.1528617172957998</v>
      </c>
      <c r="D608" s="2">
        <v>198.71845293036321</v>
      </c>
      <c r="E608" s="2">
        <v>366.09110181270268</v>
      </c>
      <c r="J608" s="4">
        <v>1</v>
      </c>
      <c r="K608" s="4">
        <f t="shared" si="36"/>
        <v>2</v>
      </c>
      <c r="L608" s="4">
        <f t="shared" si="37"/>
        <v>5</v>
      </c>
      <c r="M608" s="4">
        <v>2.1528617172957998</v>
      </c>
      <c r="N608" s="4">
        <v>198.71845293036321</v>
      </c>
      <c r="O608" s="4">
        <v>366.09110181270268</v>
      </c>
      <c r="X608" s="22">
        <f t="shared" si="38"/>
        <v>324.23958908998191</v>
      </c>
      <c r="Y608" s="2">
        <f t="shared" si="39"/>
        <v>1751.5491171800584</v>
      </c>
    </row>
    <row r="609" spans="1:25">
      <c r="A609" s="2" t="s">
        <v>6</v>
      </c>
      <c r="B609" s="2" t="s">
        <v>16</v>
      </c>
      <c r="C609" s="2">
        <v>4.0444075539504851</v>
      </c>
      <c r="D609" s="2">
        <v>18.533146809167011</v>
      </c>
      <c r="E609" s="2">
        <v>76.550899942566247</v>
      </c>
      <c r="J609" s="4">
        <v>1</v>
      </c>
      <c r="K609" s="4">
        <f t="shared" si="36"/>
        <v>3</v>
      </c>
      <c r="L609" s="4">
        <f t="shared" si="37"/>
        <v>5</v>
      </c>
      <c r="M609" s="4">
        <v>4.0444075539504851</v>
      </c>
      <c r="N609" s="4">
        <v>18.533146809167011</v>
      </c>
      <c r="O609" s="4">
        <v>76.550899942566247</v>
      </c>
      <c r="X609" s="22">
        <f t="shared" si="38"/>
        <v>79.054066410839539</v>
      </c>
      <c r="Y609" s="2">
        <f t="shared" si="39"/>
        <v>6.2658423678877879</v>
      </c>
    </row>
    <row r="610" spans="1:25">
      <c r="A610" s="2" t="s">
        <v>5</v>
      </c>
      <c r="B610" s="2" t="s">
        <v>13</v>
      </c>
      <c r="C610" s="2">
        <v>9.3527527629344469</v>
      </c>
      <c r="D610" s="2">
        <v>154.59150546412451</v>
      </c>
      <c r="E610" s="2">
        <v>318.22462324000878</v>
      </c>
      <c r="J610" s="4">
        <v>1</v>
      </c>
      <c r="K610" s="4">
        <f t="shared" si="36"/>
        <v>1</v>
      </c>
      <c r="L610" s="4">
        <f t="shared" si="37"/>
        <v>2</v>
      </c>
      <c r="M610" s="4">
        <v>9.3527527629344469</v>
      </c>
      <c r="N610" s="4">
        <v>154.59150546412451</v>
      </c>
      <c r="O610" s="4">
        <v>318.22462324000878</v>
      </c>
      <c r="X610" s="22">
        <f t="shared" si="38"/>
        <v>348.44808206869175</v>
      </c>
      <c r="Y610" s="2">
        <f t="shared" si="39"/>
        <v>913.45746356909422</v>
      </c>
    </row>
    <row r="611" spans="1:25">
      <c r="A611" s="2" t="s">
        <v>9</v>
      </c>
      <c r="B611" s="2" t="s">
        <v>13</v>
      </c>
      <c r="C611" s="2">
        <v>3.021540506594667</v>
      </c>
      <c r="D611" s="2">
        <v>80.627572616445221</v>
      </c>
      <c r="E611" s="2">
        <v>126.365171761159</v>
      </c>
      <c r="J611" s="4">
        <v>1</v>
      </c>
      <c r="K611" s="4">
        <f t="shared" si="36"/>
        <v>5</v>
      </c>
      <c r="L611" s="4">
        <f t="shared" si="37"/>
        <v>2</v>
      </c>
      <c r="M611" s="4">
        <v>3.021540506594667</v>
      </c>
      <c r="N611" s="4">
        <v>80.627572616445221</v>
      </c>
      <c r="O611" s="4">
        <v>126.365171761159</v>
      </c>
      <c r="X611" s="22">
        <f t="shared" si="38"/>
        <v>157.74080181673415</v>
      </c>
      <c r="Y611" s="2">
        <f t="shared" si="39"/>
        <v>984.43016138431028</v>
      </c>
    </row>
    <row r="612" spans="1:25">
      <c r="A612" s="2" t="s">
        <v>11</v>
      </c>
      <c r="B612" s="2" t="s">
        <v>16</v>
      </c>
      <c r="C612" s="2">
        <v>4.34950321453762</v>
      </c>
      <c r="D612" s="2">
        <v>84.5670553836012</v>
      </c>
      <c r="E612" s="2">
        <v>213.8356134662364</v>
      </c>
      <c r="J612" s="4">
        <v>1</v>
      </c>
      <c r="K612" s="4">
        <f t="shared" si="36"/>
        <v>7</v>
      </c>
      <c r="L612" s="4">
        <f t="shared" si="37"/>
        <v>5</v>
      </c>
      <c r="M612" s="4">
        <v>4.34950321453762</v>
      </c>
      <c r="N612" s="4">
        <v>84.5670553836012</v>
      </c>
      <c r="O612" s="4">
        <v>213.8356134662364</v>
      </c>
      <c r="X612" s="22">
        <f t="shared" si="38"/>
        <v>178.11749826678985</v>
      </c>
      <c r="Y612" s="2">
        <f t="shared" si="39"/>
        <v>1275.7837534009343</v>
      </c>
    </row>
    <row r="613" spans="1:25">
      <c r="A613" s="2" t="s">
        <v>6</v>
      </c>
      <c r="B613" s="2" t="s">
        <v>13</v>
      </c>
      <c r="C613" s="2">
        <v>4.8886919464977634</v>
      </c>
      <c r="D613" s="2">
        <v>153.3103449359343</v>
      </c>
      <c r="E613" s="2">
        <v>275.8095602549829</v>
      </c>
      <c r="J613" s="4">
        <v>1</v>
      </c>
      <c r="K613" s="4">
        <f t="shared" si="36"/>
        <v>3</v>
      </c>
      <c r="L613" s="4">
        <f t="shared" si="37"/>
        <v>2</v>
      </c>
      <c r="M613" s="4">
        <v>4.8886919464977634</v>
      </c>
      <c r="N613" s="4">
        <v>153.3103449359343</v>
      </c>
      <c r="O613" s="4">
        <v>275.8095602549829</v>
      </c>
      <c r="X613" s="22">
        <f t="shared" si="38"/>
        <v>290.15965180047533</v>
      </c>
      <c r="Y613" s="2">
        <f t="shared" si="39"/>
        <v>205.92512736401338</v>
      </c>
    </row>
    <row r="614" spans="1:25">
      <c r="A614" s="2" t="s">
        <v>8</v>
      </c>
      <c r="B614" s="2" t="s">
        <v>14</v>
      </c>
      <c r="C614" s="2">
        <v>4.9546449072500698</v>
      </c>
      <c r="D614" s="2">
        <v>184.50102210762759</v>
      </c>
      <c r="E614" s="2">
        <v>328.82937788594478</v>
      </c>
      <c r="J614" s="4">
        <v>1</v>
      </c>
      <c r="K614" s="4">
        <f t="shared" si="36"/>
        <v>4</v>
      </c>
      <c r="L614" s="4">
        <f t="shared" si="37"/>
        <v>3</v>
      </c>
      <c r="M614" s="4">
        <v>4.9546449072500698</v>
      </c>
      <c r="N614" s="4">
        <v>184.50102210762759</v>
      </c>
      <c r="O614" s="4">
        <v>328.82937788594478</v>
      </c>
      <c r="X614" s="22">
        <f t="shared" si="38"/>
        <v>336.47833099267501</v>
      </c>
      <c r="Y614" s="2">
        <f t="shared" si="39"/>
        <v>58.506483628958073</v>
      </c>
    </row>
    <row r="615" spans="1:25">
      <c r="A615" s="2" t="s">
        <v>6</v>
      </c>
      <c r="B615" s="2" t="s">
        <v>17</v>
      </c>
      <c r="C615" s="2">
        <v>6.5164562424507304</v>
      </c>
      <c r="D615" s="2">
        <v>190.67643295548419</v>
      </c>
      <c r="E615" s="2">
        <v>332.24439025209853</v>
      </c>
      <c r="J615" s="4">
        <v>1</v>
      </c>
      <c r="K615" s="4">
        <f t="shared" si="36"/>
        <v>3</v>
      </c>
      <c r="L615" s="4">
        <f t="shared" si="37"/>
        <v>6</v>
      </c>
      <c r="M615" s="4">
        <v>6.5164562424507304</v>
      </c>
      <c r="N615" s="4">
        <v>190.67643295548419</v>
      </c>
      <c r="O615" s="4">
        <v>332.24439025209853</v>
      </c>
      <c r="X615" s="22">
        <f t="shared" si="38"/>
        <v>365.17702713047771</v>
      </c>
      <c r="Y615" s="2">
        <f t="shared" si="39"/>
        <v>1084.5585717631807</v>
      </c>
    </row>
    <row r="616" spans="1:25">
      <c r="A616" s="2" t="s">
        <v>6</v>
      </c>
      <c r="B616" s="2" t="s">
        <v>13</v>
      </c>
      <c r="C616" s="2">
        <v>9.4876825397023676</v>
      </c>
      <c r="D616" s="2">
        <v>119.653291347281</v>
      </c>
      <c r="E616" s="2">
        <v>248.36191506687831</v>
      </c>
      <c r="J616" s="4">
        <v>1</v>
      </c>
      <c r="K616" s="4">
        <f t="shared" si="36"/>
        <v>3</v>
      </c>
      <c r="L616" s="4">
        <f t="shared" si="37"/>
        <v>2</v>
      </c>
      <c r="M616" s="4">
        <v>9.4876825397023676</v>
      </c>
      <c r="N616" s="4">
        <v>119.653291347281</v>
      </c>
      <c r="O616" s="4">
        <v>248.36191506687831</v>
      </c>
      <c r="X616" s="22">
        <f t="shared" si="38"/>
        <v>296.77521198699122</v>
      </c>
      <c r="Y616" s="2">
        <f t="shared" si="39"/>
        <v>2343.8473186750143</v>
      </c>
    </row>
    <row r="617" spans="1:25">
      <c r="A617" s="2" t="s">
        <v>9</v>
      </c>
      <c r="B617" s="2" t="s">
        <v>15</v>
      </c>
      <c r="C617" s="2">
        <v>3.1662344064925452</v>
      </c>
      <c r="D617" s="2">
        <v>77.85302026709553</v>
      </c>
      <c r="E617" s="2">
        <v>156.8934513157885</v>
      </c>
      <c r="J617" s="4">
        <v>1</v>
      </c>
      <c r="K617" s="4">
        <f t="shared" si="36"/>
        <v>5</v>
      </c>
      <c r="L617" s="4">
        <f t="shared" si="37"/>
        <v>4</v>
      </c>
      <c r="M617" s="4">
        <v>3.1662344064925452</v>
      </c>
      <c r="N617" s="4">
        <v>77.85302026709553</v>
      </c>
      <c r="O617" s="4">
        <v>156.8934513157885</v>
      </c>
      <c r="X617" s="22">
        <f t="shared" si="38"/>
        <v>155.12098726998227</v>
      </c>
      <c r="Y617" s="2">
        <f t="shared" si="39"/>
        <v>3.1416287936757934</v>
      </c>
    </row>
    <row r="618" spans="1:25">
      <c r="A618" s="2" t="s">
        <v>8</v>
      </c>
      <c r="B618" s="2" t="s">
        <v>13</v>
      </c>
      <c r="C618" s="2">
        <v>2.0935123867082619</v>
      </c>
      <c r="D618" s="2">
        <v>159.63432631316809</v>
      </c>
      <c r="E618" s="2">
        <v>316.54384236811529</v>
      </c>
      <c r="J618" s="4">
        <v>1</v>
      </c>
      <c r="K618" s="4">
        <f t="shared" si="36"/>
        <v>4</v>
      </c>
      <c r="L618" s="4">
        <f t="shared" si="37"/>
        <v>2</v>
      </c>
      <c r="M618" s="4">
        <v>2.0935123867082619</v>
      </c>
      <c r="N618" s="4">
        <v>159.63432631316809</v>
      </c>
      <c r="O618" s="4">
        <v>316.54384236811529</v>
      </c>
      <c r="X618" s="22">
        <f t="shared" si="38"/>
        <v>264.43066660791914</v>
      </c>
      <c r="Y618" s="2">
        <f t="shared" si="39"/>
        <v>2715.7830878130962</v>
      </c>
    </row>
    <row r="619" spans="1:25">
      <c r="A619" s="2" t="s">
        <v>6</v>
      </c>
      <c r="B619" s="2" t="s">
        <v>12</v>
      </c>
      <c r="C619" s="2">
        <v>2.7772344087394361</v>
      </c>
      <c r="D619" s="2">
        <v>57.690262819837052</v>
      </c>
      <c r="E619" s="2">
        <v>114.3031558715502</v>
      </c>
      <c r="J619" s="4">
        <v>1</v>
      </c>
      <c r="K619" s="4">
        <f t="shared" si="36"/>
        <v>3</v>
      </c>
      <c r="L619" s="4">
        <f t="shared" si="37"/>
        <v>1</v>
      </c>
      <c r="M619" s="4">
        <v>2.7772344087394361</v>
      </c>
      <c r="N619" s="4">
        <v>57.690262819837052</v>
      </c>
      <c r="O619" s="4">
        <v>114.3031558715502</v>
      </c>
      <c r="X619" s="22">
        <f t="shared" si="38"/>
        <v>122.19761684018138</v>
      </c>
      <c r="Y619" s="2">
        <f t="shared" si="39"/>
        <v>62.322513985241137</v>
      </c>
    </row>
    <row r="620" spans="1:25">
      <c r="A620" s="2" t="s">
        <v>11</v>
      </c>
      <c r="B620" s="2" t="s">
        <v>14</v>
      </c>
      <c r="C620" s="2">
        <v>8.9823241018834246</v>
      </c>
      <c r="D620" s="2">
        <v>117.17406547836841</v>
      </c>
      <c r="E620" s="2">
        <v>334.94077296501098</v>
      </c>
      <c r="J620" s="4">
        <v>1</v>
      </c>
      <c r="K620" s="4">
        <f t="shared" si="36"/>
        <v>7</v>
      </c>
      <c r="L620" s="4">
        <f t="shared" si="37"/>
        <v>3</v>
      </c>
      <c r="M620" s="4">
        <v>8.9823241018834246</v>
      </c>
      <c r="N620" s="4">
        <v>117.17406547836841</v>
      </c>
      <c r="O620" s="4">
        <v>334.94077296501098</v>
      </c>
      <c r="X620" s="22">
        <f t="shared" si="38"/>
        <v>283.90251729529064</v>
      </c>
      <c r="Y620" s="2">
        <f t="shared" si="39"/>
        <v>2604.9035418077406</v>
      </c>
    </row>
    <row r="621" spans="1:25">
      <c r="A621" s="2" t="s">
        <v>11</v>
      </c>
      <c r="B621" s="2" t="s">
        <v>12</v>
      </c>
      <c r="C621" s="2">
        <v>6.8122973138968543</v>
      </c>
      <c r="D621" s="2">
        <v>78.129907689725897</v>
      </c>
      <c r="E621" s="2">
        <v>146.049624110552</v>
      </c>
      <c r="J621" s="4">
        <v>1</v>
      </c>
      <c r="K621" s="4">
        <f t="shared" si="36"/>
        <v>7</v>
      </c>
      <c r="L621" s="4">
        <f t="shared" si="37"/>
        <v>1</v>
      </c>
      <c r="M621" s="4">
        <v>6.8122973138968543</v>
      </c>
      <c r="N621" s="4">
        <v>78.129907689725897</v>
      </c>
      <c r="O621" s="4">
        <v>146.049624110552</v>
      </c>
      <c r="X621" s="22">
        <f t="shared" si="38"/>
        <v>199.43546079261552</v>
      </c>
      <c r="Y621" s="2">
        <f t="shared" si="39"/>
        <v>2850.0475582439581</v>
      </c>
    </row>
    <row r="622" spans="1:25">
      <c r="A622" s="2" t="s">
        <v>7</v>
      </c>
      <c r="B622" s="2" t="s">
        <v>12</v>
      </c>
      <c r="C622" s="2">
        <v>3.5731611031524411</v>
      </c>
      <c r="D622" s="2">
        <v>134.75990400449649</v>
      </c>
      <c r="E622" s="2">
        <v>259.33281237179779</v>
      </c>
      <c r="J622" s="4">
        <v>1</v>
      </c>
      <c r="K622" s="4">
        <f t="shared" si="36"/>
        <v>2</v>
      </c>
      <c r="L622" s="4">
        <f t="shared" si="37"/>
        <v>1</v>
      </c>
      <c r="M622" s="4">
        <v>3.5731611031524411</v>
      </c>
      <c r="N622" s="4">
        <v>134.75990400449649</v>
      </c>
      <c r="O622" s="4">
        <v>259.33281237179779</v>
      </c>
      <c r="X622" s="22">
        <f t="shared" si="38"/>
        <v>247.23793436119846</v>
      </c>
      <c r="Y622" s="2">
        <f t="shared" si="39"/>
        <v>146.28607409127923</v>
      </c>
    </row>
    <row r="623" spans="1:25">
      <c r="A623" s="2" t="s">
        <v>8</v>
      </c>
      <c r="B623" s="2" t="s">
        <v>15</v>
      </c>
      <c r="C623" s="2">
        <v>8.3435224507175541</v>
      </c>
      <c r="D623" s="2">
        <v>55.67579344976631</v>
      </c>
      <c r="E623" s="2">
        <v>162.68288656344211</v>
      </c>
      <c r="J623" s="4">
        <v>1</v>
      </c>
      <c r="K623" s="4">
        <f t="shared" si="36"/>
        <v>4</v>
      </c>
      <c r="L623" s="4">
        <f t="shared" si="37"/>
        <v>4</v>
      </c>
      <c r="M623" s="4">
        <v>8.3435224507175541</v>
      </c>
      <c r="N623" s="4">
        <v>55.67579344976631</v>
      </c>
      <c r="O623" s="4">
        <v>162.68288656344211</v>
      </c>
      <c r="X623" s="22">
        <f t="shared" si="38"/>
        <v>186.62442838087028</v>
      </c>
      <c r="Y623" s="2">
        <f t="shared" si="39"/>
        <v>573.19742459566191</v>
      </c>
    </row>
    <row r="624" spans="1:25">
      <c r="A624" s="2" t="s">
        <v>8</v>
      </c>
      <c r="B624" s="2" t="s">
        <v>14</v>
      </c>
      <c r="C624" s="2">
        <v>8.7523299672709243</v>
      </c>
      <c r="D624" s="2">
        <v>46.402659689616897</v>
      </c>
      <c r="E624" s="2">
        <v>210.16294120737419</v>
      </c>
      <c r="J624" s="4">
        <v>1</v>
      </c>
      <c r="K624" s="4">
        <f t="shared" si="36"/>
        <v>4</v>
      </c>
      <c r="L624" s="4">
        <f t="shared" si="37"/>
        <v>3</v>
      </c>
      <c r="M624" s="4">
        <v>8.7523299672709243</v>
      </c>
      <c r="N624" s="4">
        <v>46.402659689616897</v>
      </c>
      <c r="O624" s="4">
        <v>210.16294120737419</v>
      </c>
      <c r="X624" s="22">
        <f t="shared" si="38"/>
        <v>178.0170334672024</v>
      </c>
      <c r="Y624" s="2">
        <f t="shared" si="39"/>
        <v>1033.3593844396369</v>
      </c>
    </row>
    <row r="625" spans="1:25">
      <c r="A625" s="2" t="s">
        <v>7</v>
      </c>
      <c r="B625" s="2" t="s">
        <v>14</v>
      </c>
      <c r="C625" s="2">
        <v>8.6186290482125028</v>
      </c>
      <c r="D625" s="2">
        <v>184.46542646833299</v>
      </c>
      <c r="E625" s="2">
        <v>424.45467996173312</v>
      </c>
      <c r="J625" s="4">
        <v>1</v>
      </c>
      <c r="K625" s="4">
        <f t="shared" si="36"/>
        <v>2</v>
      </c>
      <c r="L625" s="4">
        <f t="shared" si="37"/>
        <v>3</v>
      </c>
      <c r="M625" s="4">
        <v>8.6186290482125028</v>
      </c>
      <c r="N625" s="4">
        <v>184.46542646833299</v>
      </c>
      <c r="O625" s="4">
        <v>424.45467996173312</v>
      </c>
      <c r="X625" s="22">
        <f t="shared" si="38"/>
        <v>382.95761034287744</v>
      </c>
      <c r="Y625" s="2">
        <f t="shared" si="39"/>
        <v>1722.0067869521547</v>
      </c>
    </row>
    <row r="626" spans="1:25">
      <c r="A626" s="2" t="s">
        <v>6</v>
      </c>
      <c r="B626" s="2" t="s">
        <v>14</v>
      </c>
      <c r="C626" s="2">
        <v>9.2703388027559903</v>
      </c>
      <c r="D626" s="2">
        <v>29.34269976041201</v>
      </c>
      <c r="E626" s="2">
        <v>174.594711214087</v>
      </c>
      <c r="J626" s="4">
        <v>1</v>
      </c>
      <c r="K626" s="4">
        <f t="shared" si="36"/>
        <v>3</v>
      </c>
      <c r="L626" s="4">
        <f t="shared" si="37"/>
        <v>3</v>
      </c>
      <c r="M626" s="4">
        <v>9.2703388027559903</v>
      </c>
      <c r="N626" s="4">
        <v>29.34269976041201</v>
      </c>
      <c r="O626" s="4">
        <v>174.594711214087</v>
      </c>
      <c r="X626" s="22">
        <f t="shared" si="38"/>
        <v>159.74975721969076</v>
      </c>
      <c r="Y626" s="2">
        <f t="shared" si="39"/>
        <v>220.37265909574074</v>
      </c>
    </row>
    <row r="627" spans="1:25">
      <c r="A627" s="2" t="s">
        <v>8</v>
      </c>
      <c r="B627" s="2" t="s">
        <v>14</v>
      </c>
      <c r="C627" s="2">
        <v>3.270169181560254</v>
      </c>
      <c r="D627" s="2">
        <v>106.132002469637</v>
      </c>
      <c r="E627" s="2">
        <v>164.62990725695539</v>
      </c>
      <c r="J627" s="4">
        <v>1</v>
      </c>
      <c r="K627" s="4">
        <f t="shared" si="36"/>
        <v>4</v>
      </c>
      <c r="L627" s="4">
        <f t="shared" si="37"/>
        <v>3</v>
      </c>
      <c r="M627" s="4">
        <v>3.270169181560254</v>
      </c>
      <c r="N627" s="4">
        <v>106.132002469637</v>
      </c>
      <c r="O627" s="4">
        <v>164.62990725695539</v>
      </c>
      <c r="X627" s="22">
        <f t="shared" si="38"/>
        <v>199.2717311170731</v>
      </c>
      <c r="Y627" s="2">
        <f t="shared" si="39"/>
        <v>1200.0559603554207</v>
      </c>
    </row>
    <row r="628" spans="1:25">
      <c r="A628" s="2" t="s">
        <v>11</v>
      </c>
      <c r="B628" s="2" t="s">
        <v>14</v>
      </c>
      <c r="C628" s="2">
        <v>7.7953773587165047</v>
      </c>
      <c r="D628" s="2">
        <v>51.962028762971698</v>
      </c>
      <c r="E628" s="2">
        <v>116.8154880199704</v>
      </c>
      <c r="J628" s="4">
        <v>1</v>
      </c>
      <c r="K628" s="4">
        <f t="shared" si="36"/>
        <v>7</v>
      </c>
      <c r="L628" s="4">
        <f t="shared" si="37"/>
        <v>3</v>
      </c>
      <c r="M628" s="4">
        <v>7.7953773587165047</v>
      </c>
      <c r="N628" s="4">
        <v>51.962028762971698</v>
      </c>
      <c r="O628" s="4">
        <v>116.8154880199704</v>
      </c>
      <c r="X628" s="22">
        <f t="shared" si="38"/>
        <v>172.37509219285175</v>
      </c>
      <c r="Y628" s="2">
        <f t="shared" si="39"/>
        <v>3086.8696158472549</v>
      </c>
    </row>
    <row r="629" spans="1:25">
      <c r="A629" s="2" t="s">
        <v>11</v>
      </c>
      <c r="B629" s="2" t="s">
        <v>15</v>
      </c>
      <c r="C629" s="2">
        <v>5.14485547546726</v>
      </c>
      <c r="D629" s="2">
        <v>17.396693031876811</v>
      </c>
      <c r="E629" s="2">
        <v>132.55294701926121</v>
      </c>
      <c r="J629" s="4">
        <v>1</v>
      </c>
      <c r="K629" s="4">
        <f t="shared" si="36"/>
        <v>7</v>
      </c>
      <c r="L629" s="4">
        <f t="shared" si="37"/>
        <v>4</v>
      </c>
      <c r="M629" s="4">
        <v>5.14485547546726</v>
      </c>
      <c r="N629" s="4">
        <v>17.396693031876811</v>
      </c>
      <c r="O629" s="4">
        <v>132.55294701926121</v>
      </c>
      <c r="X629" s="22">
        <f t="shared" si="38"/>
        <v>88.229496001390416</v>
      </c>
      <c r="Y629" s="2">
        <f t="shared" si="39"/>
        <v>1964.5683101335917</v>
      </c>
    </row>
    <row r="630" spans="1:25">
      <c r="A630" s="2" t="s">
        <v>9</v>
      </c>
      <c r="B630" s="2" t="s">
        <v>13</v>
      </c>
      <c r="C630" s="2">
        <v>8.5779869760105534</v>
      </c>
      <c r="D630" s="2">
        <v>16.843575475371011</v>
      </c>
      <c r="E630" s="2">
        <v>175.58675689796371</v>
      </c>
      <c r="J630" s="4">
        <v>1</v>
      </c>
      <c r="K630" s="4">
        <f t="shared" si="36"/>
        <v>5</v>
      </c>
      <c r="L630" s="4">
        <f t="shared" si="37"/>
        <v>2</v>
      </c>
      <c r="M630" s="4">
        <v>8.5779869760105534</v>
      </c>
      <c r="N630" s="4">
        <v>16.843575475371011</v>
      </c>
      <c r="O630" s="4">
        <v>175.58675689796371</v>
      </c>
      <c r="X630" s="22">
        <f t="shared" si="38"/>
        <v>131.3752858640934</v>
      </c>
      <c r="Y630" s="2">
        <f t="shared" si="39"/>
        <v>1954.6541709787534</v>
      </c>
    </row>
    <row r="631" spans="1:25">
      <c r="A631" s="2" t="s">
        <v>8</v>
      </c>
      <c r="B631" s="2" t="s">
        <v>12</v>
      </c>
      <c r="C631" s="2">
        <v>7.5564160944545176</v>
      </c>
      <c r="D631" s="2">
        <v>43.292136700107193</v>
      </c>
      <c r="E631" s="2">
        <v>214.5898196058732</v>
      </c>
      <c r="J631" s="4">
        <v>1</v>
      </c>
      <c r="K631" s="4">
        <f t="shared" si="36"/>
        <v>4</v>
      </c>
      <c r="L631" s="4">
        <f t="shared" si="37"/>
        <v>1</v>
      </c>
      <c r="M631" s="4">
        <v>7.5564160944545176</v>
      </c>
      <c r="N631" s="4">
        <v>43.292136700107193</v>
      </c>
      <c r="O631" s="4">
        <v>214.5898196058732</v>
      </c>
      <c r="X631" s="22">
        <f t="shared" si="38"/>
        <v>158.94611752792241</v>
      </c>
      <c r="Y631" s="2">
        <f t="shared" si="39"/>
        <v>3096.2215809397453</v>
      </c>
    </row>
    <row r="632" spans="1:25">
      <c r="A632" s="2" t="s">
        <v>6</v>
      </c>
      <c r="B632" s="2" t="s">
        <v>14</v>
      </c>
      <c r="C632" s="2">
        <v>7.9880270184975224</v>
      </c>
      <c r="D632" s="2">
        <v>174.68636735614001</v>
      </c>
      <c r="E632" s="2">
        <v>420.12262616827752</v>
      </c>
      <c r="J632" s="4">
        <v>1</v>
      </c>
      <c r="K632" s="4">
        <f t="shared" si="36"/>
        <v>3</v>
      </c>
      <c r="L632" s="4">
        <f t="shared" si="37"/>
        <v>3</v>
      </c>
      <c r="M632" s="4">
        <v>7.9880270184975224</v>
      </c>
      <c r="N632" s="4">
        <v>174.68636735614001</v>
      </c>
      <c r="O632" s="4">
        <v>420.12262616827752</v>
      </c>
      <c r="X632" s="22">
        <f t="shared" si="38"/>
        <v>359.95313592191565</v>
      </c>
      <c r="Y632" s="2">
        <f t="shared" si="39"/>
        <v>3620.3675565070366</v>
      </c>
    </row>
    <row r="633" spans="1:25">
      <c r="A633" s="2" t="s">
        <v>7</v>
      </c>
      <c r="B633" s="2" t="s">
        <v>13</v>
      </c>
      <c r="C633" s="2">
        <v>6.9054565391296432</v>
      </c>
      <c r="D633" s="2">
        <v>63.670961355635058</v>
      </c>
      <c r="E633" s="2">
        <v>216.02804394685609</v>
      </c>
      <c r="J633" s="4">
        <v>1</v>
      </c>
      <c r="K633" s="4">
        <f t="shared" si="36"/>
        <v>2</v>
      </c>
      <c r="L633" s="4">
        <f t="shared" si="37"/>
        <v>2</v>
      </c>
      <c r="M633" s="4">
        <v>6.9054565391296432</v>
      </c>
      <c r="N633" s="4">
        <v>63.670961355635058</v>
      </c>
      <c r="O633" s="4">
        <v>216.02804394685609</v>
      </c>
      <c r="X633" s="22">
        <f t="shared" si="38"/>
        <v>182.48870019611687</v>
      </c>
      <c r="Y633" s="2">
        <f t="shared" si="39"/>
        <v>1124.8875792302499</v>
      </c>
    </row>
    <row r="634" spans="1:25">
      <c r="A634" s="2" t="s">
        <v>7</v>
      </c>
      <c r="B634" s="2" t="s">
        <v>13</v>
      </c>
      <c r="C634" s="2">
        <v>2.5968589252273619</v>
      </c>
      <c r="D634" s="2">
        <v>190.58724240930621</v>
      </c>
      <c r="E634" s="2">
        <v>276.79229614788778</v>
      </c>
      <c r="J634" s="4">
        <v>1</v>
      </c>
      <c r="K634" s="4">
        <f t="shared" si="36"/>
        <v>2</v>
      </c>
      <c r="L634" s="4">
        <f t="shared" si="37"/>
        <v>2</v>
      </c>
      <c r="M634" s="4">
        <v>2.5968589252273619</v>
      </c>
      <c r="N634" s="4">
        <v>190.58724240930621</v>
      </c>
      <c r="O634" s="4">
        <v>276.79229614788778</v>
      </c>
      <c r="X634" s="22">
        <f t="shared" si="38"/>
        <v>318.04089997878089</v>
      </c>
      <c r="Y634" s="2">
        <f t="shared" si="39"/>
        <v>1701.4473179979691</v>
      </c>
    </row>
    <row r="635" spans="1:25">
      <c r="A635" s="2" t="s">
        <v>6</v>
      </c>
      <c r="B635" s="2" t="s">
        <v>12</v>
      </c>
      <c r="C635" s="2">
        <v>5.9052422700724447</v>
      </c>
      <c r="D635" s="2">
        <v>120.50823566794681</v>
      </c>
      <c r="E635" s="2">
        <v>227.22145679164191</v>
      </c>
      <c r="J635" s="4">
        <v>1</v>
      </c>
      <c r="K635" s="4">
        <f t="shared" si="36"/>
        <v>3</v>
      </c>
      <c r="L635" s="4">
        <f t="shared" si="37"/>
        <v>1</v>
      </c>
      <c r="M635" s="4">
        <v>5.9052422700724447</v>
      </c>
      <c r="N635" s="4">
        <v>120.50823566794681</v>
      </c>
      <c r="O635" s="4">
        <v>227.22145679164191</v>
      </c>
      <c r="X635" s="22">
        <f t="shared" si="38"/>
        <v>254.06992038525078</v>
      </c>
      <c r="Y635" s="2">
        <f t="shared" si="39"/>
        <v>720.83999733734083</v>
      </c>
    </row>
    <row r="636" spans="1:25">
      <c r="A636" s="2" t="s">
        <v>5</v>
      </c>
      <c r="B636" s="2" t="s">
        <v>15</v>
      </c>
      <c r="C636" s="2">
        <v>9.8620276557205742</v>
      </c>
      <c r="D636" s="2">
        <v>92.956696056065553</v>
      </c>
      <c r="E636" s="2">
        <v>204.7596290276002</v>
      </c>
      <c r="J636" s="4">
        <v>1</v>
      </c>
      <c r="K636" s="4">
        <f t="shared" si="36"/>
        <v>1</v>
      </c>
      <c r="L636" s="4">
        <f t="shared" si="37"/>
        <v>4</v>
      </c>
      <c r="M636" s="4">
        <v>9.8620276557205742</v>
      </c>
      <c r="N636" s="4">
        <v>92.956696056065553</v>
      </c>
      <c r="O636" s="4">
        <v>204.7596290276002</v>
      </c>
      <c r="X636" s="22">
        <f t="shared" si="38"/>
        <v>262.8460445147071</v>
      </c>
      <c r="Y636" s="2">
        <f t="shared" si="39"/>
        <v>3374.0316641408131</v>
      </c>
    </row>
    <row r="637" spans="1:25">
      <c r="A637" s="2" t="s">
        <v>10</v>
      </c>
      <c r="B637" s="2" t="s">
        <v>16</v>
      </c>
      <c r="C637" s="2">
        <v>9.4364925984740697</v>
      </c>
      <c r="D637" s="2">
        <v>120.2168785871964</v>
      </c>
      <c r="E637" s="2">
        <v>302.97301197888942</v>
      </c>
      <c r="J637" s="4">
        <v>1</v>
      </c>
      <c r="K637" s="4">
        <f t="shared" si="36"/>
        <v>6</v>
      </c>
      <c r="L637" s="4">
        <f t="shared" si="37"/>
        <v>5</v>
      </c>
      <c r="M637" s="4">
        <v>9.4364925984740697</v>
      </c>
      <c r="N637" s="4">
        <v>120.2168785871964</v>
      </c>
      <c r="O637" s="4">
        <v>302.97301197888942</v>
      </c>
      <c r="X637" s="22">
        <f t="shared" si="38"/>
        <v>294.44529803219046</v>
      </c>
      <c r="Y637" s="2">
        <f t="shared" si="39"/>
        <v>72.721905156723821</v>
      </c>
    </row>
    <row r="638" spans="1:25">
      <c r="A638" s="2" t="s">
        <v>9</v>
      </c>
      <c r="B638" s="2" t="s">
        <v>16</v>
      </c>
      <c r="C638" s="2">
        <v>1.388563622173105</v>
      </c>
      <c r="D638" s="2">
        <v>108.17269319299091</v>
      </c>
      <c r="E638" s="2">
        <v>173.6351171302897</v>
      </c>
      <c r="J638" s="4">
        <v>1</v>
      </c>
      <c r="K638" s="4">
        <f t="shared" si="36"/>
        <v>5</v>
      </c>
      <c r="L638" s="4">
        <f t="shared" si="37"/>
        <v>5</v>
      </c>
      <c r="M638" s="4">
        <v>1.388563622173105</v>
      </c>
      <c r="N638" s="4">
        <v>108.17269319299091</v>
      </c>
      <c r="O638" s="4">
        <v>173.6351171302897</v>
      </c>
      <c r="X638" s="22">
        <f t="shared" si="38"/>
        <v>178.14897564680183</v>
      </c>
      <c r="Y638" s="2">
        <f t="shared" si="39"/>
        <v>20.374918707089087</v>
      </c>
    </row>
    <row r="639" spans="1:25">
      <c r="A639" s="2" t="s">
        <v>7</v>
      </c>
      <c r="B639" s="2" t="s">
        <v>13</v>
      </c>
      <c r="C639" s="2">
        <v>2.4833333415649341</v>
      </c>
      <c r="D639" s="2">
        <v>154.1674882138918</v>
      </c>
      <c r="E639" s="2">
        <v>279.07024426453182</v>
      </c>
      <c r="J639" s="4">
        <v>1</v>
      </c>
      <c r="K639" s="4">
        <f t="shared" si="36"/>
        <v>2</v>
      </c>
      <c r="L639" s="4">
        <f t="shared" si="37"/>
        <v>2</v>
      </c>
      <c r="M639" s="4">
        <v>2.4833333415649341</v>
      </c>
      <c r="N639" s="4">
        <v>154.1674882138918</v>
      </c>
      <c r="O639" s="4">
        <v>279.07024426453182</v>
      </c>
      <c r="X639" s="22">
        <f t="shared" si="38"/>
        <v>262.51981363129636</v>
      </c>
      <c r="Y639" s="2">
        <f t="shared" si="39"/>
        <v>273.91675414553885</v>
      </c>
    </row>
    <row r="640" spans="1:25">
      <c r="A640" s="2" t="s">
        <v>8</v>
      </c>
      <c r="B640" s="2" t="s">
        <v>17</v>
      </c>
      <c r="C640" s="2">
        <v>2.1855589610910569</v>
      </c>
      <c r="D640" s="2">
        <v>63.674252534841933</v>
      </c>
      <c r="E640" s="2">
        <v>132.30134172661451</v>
      </c>
      <c r="J640" s="4">
        <v>1</v>
      </c>
      <c r="K640" s="4">
        <f t="shared" si="36"/>
        <v>4</v>
      </c>
      <c r="L640" s="4">
        <f t="shared" si="37"/>
        <v>6</v>
      </c>
      <c r="M640" s="4">
        <v>2.1855589610910569</v>
      </c>
      <c r="N640" s="4">
        <v>63.674252534841933</v>
      </c>
      <c r="O640" s="4">
        <v>132.30134172661451</v>
      </c>
      <c r="X640" s="22">
        <f t="shared" si="38"/>
        <v>122.40191251024976</v>
      </c>
      <c r="Y640" s="2">
        <f t="shared" si="39"/>
        <v>97.998698809816034</v>
      </c>
    </row>
    <row r="641" spans="1:25">
      <c r="A641" s="2" t="s">
        <v>9</v>
      </c>
      <c r="B641" s="2" t="s">
        <v>17</v>
      </c>
      <c r="C641" s="2">
        <v>7.5338191898676596</v>
      </c>
      <c r="D641" s="2">
        <v>77.079574404057453</v>
      </c>
      <c r="E641" s="2">
        <v>225.66682181398929</v>
      </c>
      <c r="J641" s="4">
        <v>1</v>
      </c>
      <c r="K641" s="4">
        <f t="shared" si="36"/>
        <v>5</v>
      </c>
      <c r="L641" s="4">
        <f t="shared" si="37"/>
        <v>6</v>
      </c>
      <c r="M641" s="4">
        <v>7.5338191898676596</v>
      </c>
      <c r="N641" s="4">
        <v>77.079574404057453</v>
      </c>
      <c r="O641" s="4">
        <v>225.66682181398929</v>
      </c>
      <c r="X641" s="22">
        <f t="shared" si="38"/>
        <v>207.47666068149039</v>
      </c>
      <c r="Y641" s="2">
        <f t="shared" si="39"/>
        <v>330.8819620262737</v>
      </c>
    </row>
    <row r="642" spans="1:25">
      <c r="A642" s="2" t="s">
        <v>8</v>
      </c>
      <c r="B642" s="2" t="s">
        <v>12</v>
      </c>
      <c r="C642" s="2">
        <v>8.3600679687125066</v>
      </c>
      <c r="D642" s="2">
        <v>179.87791748131761</v>
      </c>
      <c r="E642" s="2">
        <v>355.60669906419071</v>
      </c>
      <c r="J642" s="4">
        <v>1</v>
      </c>
      <c r="K642" s="4">
        <f t="shared" si="36"/>
        <v>4</v>
      </c>
      <c r="L642" s="4">
        <f t="shared" si="37"/>
        <v>1</v>
      </c>
      <c r="M642" s="4">
        <v>8.3600679687125066</v>
      </c>
      <c r="N642" s="4">
        <v>179.87791748131761</v>
      </c>
      <c r="O642" s="4">
        <v>355.60669906419071</v>
      </c>
      <c r="X642" s="22">
        <f t="shared" si="38"/>
        <v>371.82151175223919</v>
      </c>
      <c r="Y642" s="2">
        <f t="shared" si="39"/>
        <v>262.92015050849807</v>
      </c>
    </row>
    <row r="643" spans="1:25">
      <c r="A643" s="2" t="s">
        <v>5</v>
      </c>
      <c r="B643" s="2" t="s">
        <v>16</v>
      </c>
      <c r="C643" s="2">
        <v>2.9216022967960469</v>
      </c>
      <c r="D643" s="2">
        <v>189.82673749857699</v>
      </c>
      <c r="E643" s="2">
        <v>269.40425776242779</v>
      </c>
      <c r="J643" s="4">
        <v>1</v>
      </c>
      <c r="K643" s="4">
        <f t="shared" si="36"/>
        <v>1</v>
      </c>
      <c r="L643" s="4">
        <f t="shared" si="37"/>
        <v>5</v>
      </c>
      <c r="M643" s="4">
        <v>2.9216022967960469</v>
      </c>
      <c r="N643" s="4">
        <v>189.82673749857699</v>
      </c>
      <c r="O643" s="4">
        <v>269.40425776242779</v>
      </c>
      <c r="X643" s="22">
        <f t="shared" si="38"/>
        <v>321.198644730821</v>
      </c>
      <c r="Y643" s="2">
        <f t="shared" si="39"/>
        <v>2682.6585214316606</v>
      </c>
    </row>
    <row r="644" spans="1:25">
      <c r="A644" s="2" t="s">
        <v>11</v>
      </c>
      <c r="B644" s="2" t="s">
        <v>13</v>
      </c>
      <c r="C644" s="2">
        <v>5.5526742365664612</v>
      </c>
      <c r="D644" s="2">
        <v>179.5860632224302</v>
      </c>
      <c r="E644" s="2">
        <v>282.90095718257419</v>
      </c>
      <c r="J644" s="4">
        <v>1</v>
      </c>
      <c r="K644" s="4">
        <f t="shared" ref="K644:K707" si="40">VLOOKUP(A644, $F$3:$G$9, 2, FALSE)</f>
        <v>7</v>
      </c>
      <c r="L644" s="4">
        <f t="shared" ref="L644:L707" si="41">VLOOKUP(B644, $H$3:$I$8, 2, FALSE)</f>
        <v>2</v>
      </c>
      <c r="M644" s="4">
        <v>5.5526742365664612</v>
      </c>
      <c r="N644" s="4">
        <v>179.5860632224302</v>
      </c>
      <c r="O644" s="4">
        <v>282.90095718257419</v>
      </c>
      <c r="X644" s="22">
        <f t="shared" ref="X644:X707" si="42">$U$16+$U$17*K644+$U$18*L644+$U$19*M644+$U$20*N644</f>
        <v>334.55816785036887</v>
      </c>
      <c r="Y644" s="2">
        <f t="shared" ref="Y644:Y707" si="43">POWER(O644-X644,2)</f>
        <v>2668.4674139769213</v>
      </c>
    </row>
    <row r="645" spans="1:25">
      <c r="A645" s="2" t="s">
        <v>9</v>
      </c>
      <c r="B645" s="2" t="s">
        <v>15</v>
      </c>
      <c r="C645" s="2">
        <v>8.5663272521008</v>
      </c>
      <c r="D645" s="2">
        <v>89.695118851889575</v>
      </c>
      <c r="E645" s="2">
        <v>236.28948876653661</v>
      </c>
      <c r="J645" s="4">
        <v>1</v>
      </c>
      <c r="K645" s="4">
        <f t="shared" si="40"/>
        <v>5</v>
      </c>
      <c r="L645" s="4">
        <f t="shared" si="41"/>
        <v>4</v>
      </c>
      <c r="M645" s="4">
        <v>8.5663272521008</v>
      </c>
      <c r="N645" s="4">
        <v>89.695118851889575</v>
      </c>
      <c r="O645" s="4">
        <v>236.28948876653661</v>
      </c>
      <c r="X645" s="22">
        <f t="shared" si="42"/>
        <v>239.21743351514766</v>
      </c>
      <c r="Y645" s="2">
        <f t="shared" si="43"/>
        <v>8.5728604509190482</v>
      </c>
    </row>
    <row r="646" spans="1:25">
      <c r="A646" s="2" t="s">
        <v>7</v>
      </c>
      <c r="B646" s="2" t="s">
        <v>16</v>
      </c>
      <c r="C646" s="2">
        <v>7.5952139028962549</v>
      </c>
      <c r="D646" s="2">
        <v>158.2694455713075</v>
      </c>
      <c r="E646" s="2">
        <v>262.76916708013857</v>
      </c>
      <c r="J646" s="4">
        <v>1</v>
      </c>
      <c r="K646" s="4">
        <f t="shared" si="40"/>
        <v>2</v>
      </c>
      <c r="L646" s="4">
        <f t="shared" si="41"/>
        <v>5</v>
      </c>
      <c r="M646" s="4">
        <v>7.5952139028962549</v>
      </c>
      <c r="N646" s="4">
        <v>158.2694455713075</v>
      </c>
      <c r="O646" s="4">
        <v>262.76916708013857</v>
      </c>
      <c r="X646" s="22">
        <f t="shared" si="42"/>
        <v>331.14703162134589</v>
      </c>
      <c r="Y646" s="2">
        <f t="shared" si="43"/>
        <v>4675.5323592156965</v>
      </c>
    </row>
    <row r="647" spans="1:25">
      <c r="A647" s="2" t="s">
        <v>9</v>
      </c>
      <c r="B647" s="2" t="s">
        <v>13</v>
      </c>
      <c r="C647" s="2">
        <v>5.8801348494266348</v>
      </c>
      <c r="D647" s="2">
        <v>100.50378932720881</v>
      </c>
      <c r="E647" s="2">
        <v>199.22862099705031</v>
      </c>
      <c r="J647" s="4">
        <v>1</v>
      </c>
      <c r="K647" s="4">
        <f t="shared" si="40"/>
        <v>5</v>
      </c>
      <c r="L647" s="4">
        <f t="shared" si="41"/>
        <v>2</v>
      </c>
      <c r="M647" s="4">
        <v>5.8801348494266348</v>
      </c>
      <c r="N647" s="4">
        <v>100.50378932720881</v>
      </c>
      <c r="O647" s="4">
        <v>199.22862099705031</v>
      </c>
      <c r="X647" s="22">
        <f t="shared" si="42"/>
        <v>222.48008374838585</v>
      </c>
      <c r="Y647" s="2">
        <f t="shared" si="43"/>
        <v>540.63052007674401</v>
      </c>
    </row>
    <row r="648" spans="1:25">
      <c r="A648" s="2" t="s">
        <v>9</v>
      </c>
      <c r="B648" s="2" t="s">
        <v>13</v>
      </c>
      <c r="C648" s="2">
        <v>6.3131292141289563</v>
      </c>
      <c r="D648" s="2">
        <v>104.5325719077594</v>
      </c>
      <c r="E648" s="2">
        <v>216.28281528704761</v>
      </c>
      <c r="J648" s="4">
        <v>1</v>
      </c>
      <c r="K648" s="4">
        <f t="shared" si="40"/>
        <v>5</v>
      </c>
      <c r="L648" s="4">
        <f t="shared" si="41"/>
        <v>2</v>
      </c>
      <c r="M648" s="4">
        <v>6.3131292141289563</v>
      </c>
      <c r="N648" s="4">
        <v>104.5325719077594</v>
      </c>
      <c r="O648" s="4">
        <v>216.28281528704761</v>
      </c>
      <c r="X648" s="22">
        <f t="shared" si="42"/>
        <v>233.7992185943063</v>
      </c>
      <c r="Y648" s="2">
        <f t="shared" si="43"/>
        <v>306.82438482254298</v>
      </c>
    </row>
    <row r="649" spans="1:25">
      <c r="A649" s="2" t="s">
        <v>9</v>
      </c>
      <c r="B649" s="2" t="s">
        <v>14</v>
      </c>
      <c r="C649" s="2">
        <v>5.5752449222465197</v>
      </c>
      <c r="D649" s="2">
        <v>48.889220720883948</v>
      </c>
      <c r="E649" s="2">
        <v>182.63620669035029</v>
      </c>
      <c r="J649" s="4">
        <v>1</v>
      </c>
      <c r="K649" s="4">
        <f t="shared" si="40"/>
        <v>5</v>
      </c>
      <c r="L649" s="4">
        <f t="shared" si="41"/>
        <v>3</v>
      </c>
      <c r="M649" s="4">
        <v>5.5752449222465197</v>
      </c>
      <c r="N649" s="4">
        <v>48.889220720883948</v>
      </c>
      <c r="O649" s="4">
        <v>182.63620669035029</v>
      </c>
      <c r="X649" s="22">
        <f t="shared" si="42"/>
        <v>141.88241565065289</v>
      </c>
      <c r="Y649" s="2">
        <f t="shared" si="43"/>
        <v>1660.8714841073204</v>
      </c>
    </row>
    <row r="650" spans="1:25">
      <c r="A650" s="2" t="s">
        <v>10</v>
      </c>
      <c r="B650" s="2" t="s">
        <v>15</v>
      </c>
      <c r="C650" s="2">
        <v>3.677936061869385</v>
      </c>
      <c r="D650" s="2">
        <v>122.3147576191181</v>
      </c>
      <c r="E650" s="2">
        <v>225.70919367858619</v>
      </c>
      <c r="J650" s="4">
        <v>1</v>
      </c>
      <c r="K650" s="4">
        <f t="shared" si="40"/>
        <v>6</v>
      </c>
      <c r="L650" s="4">
        <f t="shared" si="41"/>
        <v>4</v>
      </c>
      <c r="M650" s="4">
        <v>3.677936061869385</v>
      </c>
      <c r="N650" s="4">
        <v>122.3147576191181</v>
      </c>
      <c r="O650" s="4">
        <v>225.70919367858619</v>
      </c>
      <c r="X650" s="22">
        <f t="shared" si="42"/>
        <v>226.78992041903604</v>
      </c>
      <c r="Y650" s="2">
        <f t="shared" si="43"/>
        <v>1.167970287523352</v>
      </c>
    </row>
    <row r="651" spans="1:25">
      <c r="A651" s="2" t="s">
        <v>9</v>
      </c>
      <c r="B651" s="2" t="s">
        <v>14</v>
      </c>
      <c r="C651" s="2">
        <v>6.085197935731145</v>
      </c>
      <c r="D651" s="2">
        <v>45.365820573136112</v>
      </c>
      <c r="E651" s="2">
        <v>162.98456727153251</v>
      </c>
      <c r="J651" s="4">
        <v>1</v>
      </c>
      <c r="K651" s="4">
        <f t="shared" si="40"/>
        <v>5</v>
      </c>
      <c r="L651" s="4">
        <f t="shared" si="41"/>
        <v>3</v>
      </c>
      <c r="M651" s="4">
        <v>6.085197935731145</v>
      </c>
      <c r="N651" s="4">
        <v>45.365820573136112</v>
      </c>
      <c r="O651" s="4">
        <v>162.98456727153251</v>
      </c>
      <c r="X651" s="22">
        <f t="shared" si="42"/>
        <v>142.92599872489924</v>
      </c>
      <c r="Y651" s="2">
        <f t="shared" si="43"/>
        <v>402.34617213998547</v>
      </c>
    </row>
    <row r="652" spans="1:25">
      <c r="A652" s="2" t="s">
        <v>8</v>
      </c>
      <c r="B652" s="2" t="s">
        <v>12</v>
      </c>
      <c r="C652" s="2">
        <v>7.1999677184508162</v>
      </c>
      <c r="D652" s="2">
        <v>72.997292822766809</v>
      </c>
      <c r="E652" s="2">
        <v>179.31130757449981</v>
      </c>
      <c r="J652" s="4">
        <v>1</v>
      </c>
      <c r="K652" s="4">
        <f t="shared" si="40"/>
        <v>4</v>
      </c>
      <c r="L652" s="4">
        <f t="shared" si="41"/>
        <v>1</v>
      </c>
      <c r="M652" s="4">
        <v>7.1999677184508162</v>
      </c>
      <c r="N652" s="4">
        <v>72.997292822766809</v>
      </c>
      <c r="O652" s="4">
        <v>179.31130757449981</v>
      </c>
      <c r="X652" s="22">
        <f t="shared" si="42"/>
        <v>198.70132474522515</v>
      </c>
      <c r="Y652" s="2">
        <f t="shared" si="43"/>
        <v>375.97276588102363</v>
      </c>
    </row>
    <row r="653" spans="1:25">
      <c r="A653" s="2" t="s">
        <v>11</v>
      </c>
      <c r="B653" s="2" t="s">
        <v>14</v>
      </c>
      <c r="C653" s="2">
        <v>8.8599062427472681</v>
      </c>
      <c r="D653" s="2">
        <v>172.4557383077877</v>
      </c>
      <c r="E653" s="2">
        <v>388.25743586117272</v>
      </c>
      <c r="J653" s="4">
        <v>1</v>
      </c>
      <c r="K653" s="4">
        <f t="shared" si="40"/>
        <v>7</v>
      </c>
      <c r="L653" s="4">
        <f t="shared" si="41"/>
        <v>3</v>
      </c>
      <c r="M653" s="4">
        <v>8.8599062427472681</v>
      </c>
      <c r="N653" s="4">
        <v>172.4557383077877</v>
      </c>
      <c r="O653" s="4">
        <v>388.25743586117272</v>
      </c>
      <c r="X653" s="22">
        <f t="shared" si="42"/>
        <v>364.54868795009304</v>
      </c>
      <c r="Y653" s="2">
        <f t="shared" si="43"/>
        <v>562.10472751112525</v>
      </c>
    </row>
    <row r="654" spans="1:25">
      <c r="A654" s="2" t="s">
        <v>5</v>
      </c>
      <c r="B654" s="2" t="s">
        <v>14</v>
      </c>
      <c r="C654" s="2">
        <v>6.7266221858132322</v>
      </c>
      <c r="D654" s="2">
        <v>49.34440375006249</v>
      </c>
      <c r="E654" s="2">
        <v>181.10190310200761</v>
      </c>
      <c r="J654" s="4">
        <v>1</v>
      </c>
      <c r="K654" s="4">
        <f t="shared" si="40"/>
        <v>1</v>
      </c>
      <c r="L654" s="4">
        <f t="shared" si="41"/>
        <v>3</v>
      </c>
      <c r="M654" s="4">
        <v>6.7266221858132322</v>
      </c>
      <c r="N654" s="4">
        <v>49.34440375006249</v>
      </c>
      <c r="O654" s="4">
        <v>181.10190310200761</v>
      </c>
      <c r="X654" s="22">
        <f t="shared" si="42"/>
        <v>159.56323799118394</v>
      </c>
      <c r="Y654" s="2">
        <f t="shared" si="43"/>
        <v>463.91409475621288</v>
      </c>
    </row>
    <row r="655" spans="1:25">
      <c r="A655" s="2" t="s">
        <v>6</v>
      </c>
      <c r="B655" s="2" t="s">
        <v>16</v>
      </c>
      <c r="C655" s="2">
        <v>7.8500938333884216</v>
      </c>
      <c r="D655" s="2">
        <v>23.520074182952239</v>
      </c>
      <c r="E655" s="2">
        <v>76.746415744275424</v>
      </c>
      <c r="J655" s="4">
        <v>1</v>
      </c>
      <c r="K655" s="4">
        <f t="shared" si="40"/>
        <v>3</v>
      </c>
      <c r="L655" s="4">
        <f t="shared" si="41"/>
        <v>5</v>
      </c>
      <c r="M655" s="4">
        <v>7.8500938333884216</v>
      </c>
      <c r="N655" s="4">
        <v>23.520074182952239</v>
      </c>
      <c r="O655" s="4">
        <v>76.746415744275424</v>
      </c>
      <c r="X655" s="22">
        <f t="shared" si="42"/>
        <v>133.32920451352317</v>
      </c>
      <c r="Y655" s="2">
        <f t="shared" si="43"/>
        <v>3201.6119849053084</v>
      </c>
    </row>
    <row r="656" spans="1:25">
      <c r="A656" s="2" t="s">
        <v>9</v>
      </c>
      <c r="B656" s="2" t="s">
        <v>17</v>
      </c>
      <c r="C656" s="2">
        <v>2.4406447145911572</v>
      </c>
      <c r="D656" s="2">
        <v>23.111442596435101</v>
      </c>
      <c r="E656" s="2">
        <v>60.434050808991188</v>
      </c>
      <c r="J656" s="4">
        <v>1</v>
      </c>
      <c r="K656" s="4">
        <f t="shared" si="40"/>
        <v>5</v>
      </c>
      <c r="L656" s="4">
        <f t="shared" si="41"/>
        <v>6</v>
      </c>
      <c r="M656" s="4">
        <v>2.4406447145911572</v>
      </c>
      <c r="N656" s="4">
        <v>23.111442596435101</v>
      </c>
      <c r="O656" s="4">
        <v>60.434050808991188</v>
      </c>
      <c r="X656" s="22">
        <f t="shared" si="42"/>
        <v>64.556516931099523</v>
      </c>
      <c r="Y656" s="2">
        <f t="shared" si="43"/>
        <v>16.994726927930934</v>
      </c>
    </row>
    <row r="657" spans="1:25">
      <c r="A657" s="2" t="s">
        <v>7</v>
      </c>
      <c r="B657" s="2" t="s">
        <v>13</v>
      </c>
      <c r="C657" s="2">
        <v>5.1540172697781088</v>
      </c>
      <c r="D657" s="2">
        <v>188.74905889559051</v>
      </c>
      <c r="E657" s="2">
        <v>425.72729742783628</v>
      </c>
      <c r="J657" s="4">
        <v>1</v>
      </c>
      <c r="K657" s="4">
        <f t="shared" si="40"/>
        <v>2</v>
      </c>
      <c r="L657" s="4">
        <f t="shared" si="41"/>
        <v>2</v>
      </c>
      <c r="M657" s="4">
        <v>5.1540172697781088</v>
      </c>
      <c r="N657" s="4">
        <v>188.74905889559051</v>
      </c>
      <c r="O657" s="4">
        <v>425.72729742783628</v>
      </c>
      <c r="X657" s="22">
        <f t="shared" si="42"/>
        <v>346.79863218102582</v>
      </c>
      <c r="Y657" s="2">
        <f t="shared" si="43"/>
        <v>6229.7341976430644</v>
      </c>
    </row>
    <row r="658" spans="1:25">
      <c r="A658" s="2" t="s">
        <v>9</v>
      </c>
      <c r="B658" s="2" t="s">
        <v>15</v>
      </c>
      <c r="C658" s="2">
        <v>1.08398457844384</v>
      </c>
      <c r="D658" s="2">
        <v>106.3148832127486</v>
      </c>
      <c r="E658" s="2">
        <v>211.57779042405249</v>
      </c>
      <c r="J658" s="4">
        <v>1</v>
      </c>
      <c r="K658" s="4">
        <f t="shared" si="40"/>
        <v>5</v>
      </c>
      <c r="L658" s="4">
        <f t="shared" si="41"/>
        <v>4</v>
      </c>
      <c r="M658" s="4">
        <v>1.08398457844384</v>
      </c>
      <c r="N658" s="4">
        <v>106.3148832127486</v>
      </c>
      <c r="O658" s="4">
        <v>211.57779042405249</v>
      </c>
      <c r="X658" s="22">
        <f t="shared" si="42"/>
        <v>171.77662632929577</v>
      </c>
      <c r="Y658" s="2">
        <f t="shared" si="43"/>
        <v>1584.1326632977523</v>
      </c>
    </row>
    <row r="659" spans="1:25">
      <c r="A659" s="2" t="s">
        <v>7</v>
      </c>
      <c r="B659" s="2" t="s">
        <v>14</v>
      </c>
      <c r="C659" s="2">
        <v>3.2201097806946071</v>
      </c>
      <c r="D659" s="2">
        <v>87.78829364523348</v>
      </c>
      <c r="E659" s="2">
        <v>180.61503289683199</v>
      </c>
      <c r="J659" s="4">
        <v>1</v>
      </c>
      <c r="K659" s="4">
        <f t="shared" si="40"/>
        <v>2</v>
      </c>
      <c r="L659" s="4">
        <f t="shared" si="41"/>
        <v>3</v>
      </c>
      <c r="M659" s="4">
        <v>3.2201097806946071</v>
      </c>
      <c r="N659" s="4">
        <v>87.78829364523348</v>
      </c>
      <c r="O659" s="4">
        <v>180.61503289683199</v>
      </c>
      <c r="X659" s="22">
        <f t="shared" si="42"/>
        <v>172.80787445337455</v>
      </c>
      <c r="Y659" s="2">
        <f t="shared" si="43"/>
        <v>60.951722961248784</v>
      </c>
    </row>
    <row r="660" spans="1:25">
      <c r="A660" s="2" t="s">
        <v>8</v>
      </c>
      <c r="B660" s="2" t="s">
        <v>15</v>
      </c>
      <c r="C660" s="2">
        <v>7.5381554360170444</v>
      </c>
      <c r="D660" s="2">
        <v>164.06693039150451</v>
      </c>
      <c r="E660" s="2">
        <v>296.34195669743002</v>
      </c>
      <c r="J660" s="4">
        <v>1</v>
      </c>
      <c r="K660" s="4">
        <f t="shared" si="40"/>
        <v>4</v>
      </c>
      <c r="L660" s="4">
        <f t="shared" si="41"/>
        <v>4</v>
      </c>
      <c r="M660" s="4">
        <v>7.5381554360170444</v>
      </c>
      <c r="N660" s="4">
        <v>164.06693039150451</v>
      </c>
      <c r="O660" s="4">
        <v>296.34195669743002</v>
      </c>
      <c r="X660" s="22">
        <f t="shared" si="42"/>
        <v>337.78615502773158</v>
      </c>
      <c r="Y660" s="2">
        <f t="shared" si="43"/>
        <v>1717.6215752413707</v>
      </c>
    </row>
    <row r="661" spans="1:25">
      <c r="A661" s="2" t="s">
        <v>7</v>
      </c>
      <c r="B661" s="2" t="s">
        <v>17</v>
      </c>
      <c r="C661" s="2">
        <v>9.9262895621442713</v>
      </c>
      <c r="D661" s="2">
        <v>168.80692630299811</v>
      </c>
      <c r="E661" s="2">
        <v>386.9376556151197</v>
      </c>
      <c r="J661" s="4">
        <v>1</v>
      </c>
      <c r="K661" s="4">
        <f t="shared" si="40"/>
        <v>2</v>
      </c>
      <c r="L661" s="4">
        <f t="shared" si="41"/>
        <v>6</v>
      </c>
      <c r="M661" s="4">
        <v>9.9262895621442713</v>
      </c>
      <c r="N661" s="4">
        <v>168.80692630299811</v>
      </c>
      <c r="O661" s="4">
        <v>386.9376556151197</v>
      </c>
      <c r="X661" s="22">
        <f t="shared" si="42"/>
        <v>375.37292055115199</v>
      </c>
      <c r="Y661" s="2">
        <f t="shared" si="43"/>
        <v>133.74309709976407</v>
      </c>
    </row>
    <row r="662" spans="1:25">
      <c r="A662" s="2" t="s">
        <v>6</v>
      </c>
      <c r="B662" s="2" t="s">
        <v>17</v>
      </c>
      <c r="C662" s="2">
        <v>1.892602896284943</v>
      </c>
      <c r="D662" s="2">
        <v>73.116296291964872</v>
      </c>
      <c r="E662" s="2">
        <v>133.97797001645941</v>
      </c>
      <c r="J662" s="4">
        <v>1</v>
      </c>
      <c r="K662" s="4">
        <f t="shared" si="40"/>
        <v>3</v>
      </c>
      <c r="L662" s="4">
        <f t="shared" si="41"/>
        <v>6</v>
      </c>
      <c r="M662" s="4">
        <v>1.892602896284943</v>
      </c>
      <c r="N662" s="4">
        <v>73.116296291964872</v>
      </c>
      <c r="O662" s="4">
        <v>133.97797001645941</v>
      </c>
      <c r="X662" s="22">
        <f t="shared" si="42"/>
        <v>133.53264212543289</v>
      </c>
      <c r="Y662" s="2">
        <f t="shared" si="43"/>
        <v>0.19831693052613039</v>
      </c>
    </row>
    <row r="663" spans="1:25">
      <c r="A663" s="2" t="s">
        <v>11</v>
      </c>
      <c r="B663" s="2" t="s">
        <v>14</v>
      </c>
      <c r="C663" s="2">
        <v>4.6134488427515947</v>
      </c>
      <c r="D663" s="2">
        <v>141.78743092002111</v>
      </c>
      <c r="E663" s="2">
        <v>223.34897430749351</v>
      </c>
      <c r="J663" s="4">
        <v>1</v>
      </c>
      <c r="K663" s="4">
        <f t="shared" si="40"/>
        <v>7</v>
      </c>
      <c r="L663" s="4">
        <f t="shared" si="41"/>
        <v>3</v>
      </c>
      <c r="M663" s="4">
        <v>4.6134488427515947</v>
      </c>
      <c r="N663" s="4">
        <v>141.78743092002111</v>
      </c>
      <c r="O663" s="4">
        <v>223.34897430749351</v>
      </c>
      <c r="X663" s="22">
        <f t="shared" si="42"/>
        <v>266.68089805341947</v>
      </c>
      <c r="Y663" s="2">
        <f t="shared" si="43"/>
        <v>1877.6556155227422</v>
      </c>
    </row>
    <row r="664" spans="1:25">
      <c r="A664" s="2" t="s">
        <v>7</v>
      </c>
      <c r="B664" s="2" t="s">
        <v>12</v>
      </c>
      <c r="C664" s="2">
        <v>8.200638718292435</v>
      </c>
      <c r="D664" s="2">
        <v>156.51333501185849</v>
      </c>
      <c r="E664" s="2">
        <v>363.59201618925658</v>
      </c>
      <c r="J664" s="4">
        <v>1</v>
      </c>
      <c r="K664" s="4">
        <f t="shared" si="40"/>
        <v>2</v>
      </c>
      <c r="L664" s="4">
        <f t="shared" si="41"/>
        <v>1</v>
      </c>
      <c r="M664" s="4">
        <v>8.200638718292435</v>
      </c>
      <c r="N664" s="4">
        <v>156.51333501185849</v>
      </c>
      <c r="O664" s="4">
        <v>363.59201618925658</v>
      </c>
      <c r="X664" s="22">
        <f t="shared" si="42"/>
        <v>336.54936911075146</v>
      </c>
      <c r="Y664" s="2">
        <f t="shared" si="43"/>
        <v>731.30476101258182</v>
      </c>
    </row>
    <row r="665" spans="1:25">
      <c r="A665" s="2" t="s">
        <v>7</v>
      </c>
      <c r="B665" s="2" t="s">
        <v>14</v>
      </c>
      <c r="C665" s="2">
        <v>2.8363207116600901</v>
      </c>
      <c r="D665" s="2">
        <v>134.3836305045314</v>
      </c>
      <c r="E665" s="2">
        <v>219.71486147320351</v>
      </c>
      <c r="J665" s="4">
        <v>1</v>
      </c>
      <c r="K665" s="4">
        <f t="shared" si="40"/>
        <v>2</v>
      </c>
      <c r="L665" s="4">
        <f t="shared" si="41"/>
        <v>3</v>
      </c>
      <c r="M665" s="4">
        <v>2.8363207116600901</v>
      </c>
      <c r="N665" s="4">
        <v>134.3836305045314</v>
      </c>
      <c r="O665" s="4">
        <v>219.71486147320351</v>
      </c>
      <c r="X665" s="22">
        <f t="shared" si="42"/>
        <v>237.32676476362229</v>
      </c>
      <c r="Y665" s="2">
        <f t="shared" si="43"/>
        <v>310.17913751106386</v>
      </c>
    </row>
    <row r="666" spans="1:25">
      <c r="A666" s="2" t="s">
        <v>11</v>
      </c>
      <c r="B666" s="2" t="s">
        <v>16</v>
      </c>
      <c r="C666" s="2">
        <v>5.9957645437205764</v>
      </c>
      <c r="D666" s="2">
        <v>38.803064212018882</v>
      </c>
      <c r="E666" s="2">
        <v>126.99785111468221</v>
      </c>
      <c r="J666" s="4">
        <v>1</v>
      </c>
      <c r="K666" s="4">
        <f t="shared" si="40"/>
        <v>7</v>
      </c>
      <c r="L666" s="4">
        <f t="shared" si="41"/>
        <v>5</v>
      </c>
      <c r="M666" s="4">
        <v>5.9957645437205764</v>
      </c>
      <c r="N666" s="4">
        <v>38.803064212018882</v>
      </c>
      <c r="O666" s="4">
        <v>126.99785111468221</v>
      </c>
      <c r="X666" s="22">
        <f t="shared" si="42"/>
        <v>130.3804409097927</v>
      </c>
      <c r="Y666" s="2">
        <f t="shared" si="43"/>
        <v>11.441913721985632</v>
      </c>
    </row>
    <row r="667" spans="1:25">
      <c r="A667" s="2" t="s">
        <v>6</v>
      </c>
      <c r="B667" s="2" t="s">
        <v>13</v>
      </c>
      <c r="C667" s="2">
        <v>7.5976416642670728</v>
      </c>
      <c r="D667" s="2">
        <v>176.4177858682408</v>
      </c>
      <c r="E667" s="2">
        <v>367.63930984041372</v>
      </c>
      <c r="J667" s="4">
        <v>1</v>
      </c>
      <c r="K667" s="4">
        <f t="shared" si="40"/>
        <v>3</v>
      </c>
      <c r="L667" s="4">
        <f t="shared" si="41"/>
        <v>2</v>
      </c>
      <c r="M667" s="4">
        <v>7.5976416642670728</v>
      </c>
      <c r="N667" s="4">
        <v>176.4177858682408</v>
      </c>
      <c r="O667" s="4">
        <v>367.63930984041372</v>
      </c>
      <c r="X667" s="22">
        <f t="shared" si="42"/>
        <v>357.85807156435072</v>
      </c>
      <c r="Y667" s="2">
        <f t="shared" si="43"/>
        <v>95.672622213119752</v>
      </c>
    </row>
    <row r="668" spans="1:25">
      <c r="A668" s="2" t="s">
        <v>9</v>
      </c>
      <c r="B668" s="2" t="s">
        <v>12</v>
      </c>
      <c r="C668" s="2">
        <v>6.543869052341611</v>
      </c>
      <c r="D668" s="2">
        <v>112.42796501984169</v>
      </c>
      <c r="E668" s="2">
        <v>210.29112292550749</v>
      </c>
      <c r="J668" s="4">
        <v>1</v>
      </c>
      <c r="K668" s="4">
        <f t="shared" si="40"/>
        <v>5</v>
      </c>
      <c r="L668" s="4">
        <f t="shared" si="41"/>
        <v>1</v>
      </c>
      <c r="M668" s="4">
        <v>6.543869052341611</v>
      </c>
      <c r="N668" s="4">
        <v>112.42796501984169</v>
      </c>
      <c r="O668" s="4">
        <v>210.29112292550749</v>
      </c>
      <c r="X668" s="22">
        <f t="shared" si="42"/>
        <v>248.51306762275047</v>
      </c>
      <c r="Y668" s="2">
        <f t="shared" si="43"/>
        <v>1460.9170564391004</v>
      </c>
    </row>
    <row r="669" spans="1:25">
      <c r="A669" s="2" t="s">
        <v>7</v>
      </c>
      <c r="B669" s="2" t="s">
        <v>14</v>
      </c>
      <c r="C669" s="2">
        <v>2.6922226115387451</v>
      </c>
      <c r="D669" s="2">
        <v>63.669761010300697</v>
      </c>
      <c r="E669" s="2">
        <v>126.20860888472281</v>
      </c>
      <c r="J669" s="4">
        <v>1</v>
      </c>
      <c r="K669" s="4">
        <f t="shared" si="40"/>
        <v>2</v>
      </c>
      <c r="L669" s="4">
        <f t="shared" si="41"/>
        <v>3</v>
      </c>
      <c r="M669" s="4">
        <v>2.6922226115387451</v>
      </c>
      <c r="N669" s="4">
        <v>63.669761010300697</v>
      </c>
      <c r="O669" s="4">
        <v>126.20860888472281</v>
      </c>
      <c r="X669" s="22">
        <f t="shared" si="42"/>
        <v>130.4649904064164</v>
      </c>
      <c r="Y669" s="2">
        <f t="shared" si="43"/>
        <v>18.116783658214707</v>
      </c>
    </row>
    <row r="670" spans="1:25">
      <c r="A670" s="2" t="s">
        <v>11</v>
      </c>
      <c r="B670" s="2" t="s">
        <v>15</v>
      </c>
      <c r="C670" s="2">
        <v>4.1984611181716547</v>
      </c>
      <c r="D670" s="2">
        <v>90.793355233161847</v>
      </c>
      <c r="E670" s="2">
        <v>144.59094248570099</v>
      </c>
      <c r="J670" s="4">
        <v>1</v>
      </c>
      <c r="K670" s="4">
        <f t="shared" si="40"/>
        <v>7</v>
      </c>
      <c r="L670" s="4">
        <f t="shared" si="41"/>
        <v>4</v>
      </c>
      <c r="M670" s="4">
        <v>4.1984611181716547</v>
      </c>
      <c r="N670" s="4">
        <v>90.793355233161847</v>
      </c>
      <c r="O670" s="4">
        <v>144.59094248570099</v>
      </c>
      <c r="X670" s="22">
        <f t="shared" si="42"/>
        <v>185.64956966930953</v>
      </c>
      <c r="Y670" s="2">
        <f t="shared" si="43"/>
        <v>1685.8108662025579</v>
      </c>
    </row>
    <row r="671" spans="1:25">
      <c r="A671" s="2" t="s">
        <v>8</v>
      </c>
      <c r="B671" s="2" t="s">
        <v>12</v>
      </c>
      <c r="C671" s="2">
        <v>8.0541260603685743</v>
      </c>
      <c r="D671" s="2">
        <v>17.138507175792402</v>
      </c>
      <c r="E671" s="2">
        <v>178.56926635310549</v>
      </c>
      <c r="J671" s="4">
        <v>1</v>
      </c>
      <c r="K671" s="4">
        <f t="shared" si="40"/>
        <v>4</v>
      </c>
      <c r="L671" s="4">
        <f t="shared" si="41"/>
        <v>1</v>
      </c>
      <c r="M671" s="4">
        <v>8.0541260603685743</v>
      </c>
      <c r="N671" s="4">
        <v>17.138507175792402</v>
      </c>
      <c r="O671" s="4">
        <v>178.56926635310549</v>
      </c>
      <c r="X671" s="22">
        <f t="shared" si="42"/>
        <v>126.20833367492607</v>
      </c>
      <c r="Y671" s="2">
        <f t="shared" si="43"/>
        <v>2741.6672709288378</v>
      </c>
    </row>
    <row r="672" spans="1:25">
      <c r="A672" s="2" t="s">
        <v>11</v>
      </c>
      <c r="B672" s="2" t="s">
        <v>12</v>
      </c>
      <c r="C672" s="2">
        <v>5.9880386271881498</v>
      </c>
      <c r="D672" s="2">
        <v>34.294692232259337</v>
      </c>
      <c r="E672" s="2">
        <v>84.276889685775259</v>
      </c>
      <c r="J672" s="4">
        <v>1</v>
      </c>
      <c r="K672" s="4">
        <f t="shared" si="40"/>
        <v>7</v>
      </c>
      <c r="L672" s="4">
        <f t="shared" si="41"/>
        <v>1</v>
      </c>
      <c r="M672" s="4">
        <v>5.9880386271881498</v>
      </c>
      <c r="N672" s="4">
        <v>34.294692232259337</v>
      </c>
      <c r="O672" s="4">
        <v>84.276889685775259</v>
      </c>
      <c r="X672" s="22">
        <f t="shared" si="42"/>
        <v>124.14218408980773</v>
      </c>
      <c r="Y672" s="2">
        <f t="shared" si="43"/>
        <v>1589.2416979201823</v>
      </c>
    </row>
    <row r="673" spans="1:25">
      <c r="A673" s="2" t="s">
        <v>8</v>
      </c>
      <c r="B673" s="2" t="s">
        <v>14</v>
      </c>
      <c r="C673" s="2">
        <v>1.047066521886215</v>
      </c>
      <c r="D673" s="2">
        <v>155.45388259801359</v>
      </c>
      <c r="E673" s="2">
        <v>226.1286476086764</v>
      </c>
      <c r="J673" s="4">
        <v>1</v>
      </c>
      <c r="K673" s="4">
        <f t="shared" si="40"/>
        <v>4</v>
      </c>
      <c r="L673" s="4">
        <f t="shared" si="41"/>
        <v>3</v>
      </c>
      <c r="M673" s="4">
        <v>1.047066521886215</v>
      </c>
      <c r="N673" s="4">
        <v>155.45388259801359</v>
      </c>
      <c r="O673" s="4">
        <v>226.1286476086764</v>
      </c>
      <c r="X673" s="22">
        <f t="shared" si="42"/>
        <v>245.19278066554696</v>
      </c>
      <c r="Y673" s="2">
        <f t="shared" si="43"/>
        <v>363.44116921006486</v>
      </c>
    </row>
    <row r="674" spans="1:25">
      <c r="A674" s="2" t="s">
        <v>6</v>
      </c>
      <c r="B674" s="2" t="s">
        <v>12</v>
      </c>
      <c r="C674" s="2">
        <v>7.8489168402528442</v>
      </c>
      <c r="D674" s="2">
        <v>10.00221060351957</v>
      </c>
      <c r="E674" s="2">
        <v>63.139444428043461</v>
      </c>
      <c r="J674" s="4">
        <v>1</v>
      </c>
      <c r="K674" s="4">
        <f t="shared" si="40"/>
        <v>3</v>
      </c>
      <c r="L674" s="4">
        <f t="shared" si="41"/>
        <v>1</v>
      </c>
      <c r="M674" s="4">
        <v>7.8489168402528442</v>
      </c>
      <c r="N674" s="4">
        <v>10.00221060351957</v>
      </c>
      <c r="O674" s="4">
        <v>63.139444428043461</v>
      </c>
      <c r="X674" s="22">
        <f t="shared" si="42"/>
        <v>113.78265912434084</v>
      </c>
      <c r="Y674" s="2">
        <f t="shared" si="43"/>
        <v>2564.7351947752709</v>
      </c>
    </row>
    <row r="675" spans="1:25">
      <c r="A675" s="2" t="s">
        <v>9</v>
      </c>
      <c r="B675" s="2" t="s">
        <v>15</v>
      </c>
      <c r="C675" s="2">
        <v>1.3178021944621521</v>
      </c>
      <c r="D675" s="2">
        <v>89.147507411635516</v>
      </c>
      <c r="E675" s="2">
        <v>148.90814073316881</v>
      </c>
      <c r="J675" s="4">
        <v>1</v>
      </c>
      <c r="K675" s="4">
        <f t="shared" si="40"/>
        <v>5</v>
      </c>
      <c r="L675" s="4">
        <f t="shared" si="41"/>
        <v>4</v>
      </c>
      <c r="M675" s="4">
        <v>1.3178021944621521</v>
      </c>
      <c r="N675" s="4">
        <v>89.147507411635516</v>
      </c>
      <c r="O675" s="4">
        <v>148.90814073316881</v>
      </c>
      <c r="X675" s="22">
        <f t="shared" si="42"/>
        <v>149.14361067161036</v>
      </c>
      <c r="Y675" s="2">
        <f t="shared" si="43"/>
        <v>5.5446091909669204E-2</v>
      </c>
    </row>
    <row r="676" spans="1:25">
      <c r="A676" s="2" t="s">
        <v>11</v>
      </c>
      <c r="B676" s="2" t="s">
        <v>17</v>
      </c>
      <c r="C676" s="2">
        <v>7.7116040445810894</v>
      </c>
      <c r="D676" s="2">
        <v>109.2769344062618</v>
      </c>
      <c r="E676" s="2">
        <v>329.58765644138037</v>
      </c>
      <c r="J676" s="4">
        <v>1</v>
      </c>
      <c r="K676" s="4">
        <f t="shared" si="40"/>
        <v>7</v>
      </c>
      <c r="L676" s="4">
        <f t="shared" si="41"/>
        <v>6</v>
      </c>
      <c r="M676" s="4">
        <v>7.7116040445810894</v>
      </c>
      <c r="N676" s="4">
        <v>109.2769344062618</v>
      </c>
      <c r="O676" s="4">
        <v>329.58765644138037</v>
      </c>
      <c r="X676" s="22">
        <f t="shared" si="42"/>
        <v>256.10115866910292</v>
      </c>
      <c r="Y676" s="2">
        <f t="shared" si="43"/>
        <v>5400.2653548349399</v>
      </c>
    </row>
    <row r="677" spans="1:25">
      <c r="A677" s="2" t="s">
        <v>5</v>
      </c>
      <c r="B677" s="2" t="s">
        <v>12</v>
      </c>
      <c r="C677" s="2">
        <v>2.822325041487137</v>
      </c>
      <c r="D677" s="2">
        <v>20.380539800184739</v>
      </c>
      <c r="E677" s="2">
        <v>57.954853951555151</v>
      </c>
      <c r="J677" s="4">
        <v>1</v>
      </c>
      <c r="K677" s="4">
        <f t="shared" si="40"/>
        <v>1</v>
      </c>
      <c r="L677" s="4">
        <f t="shared" si="41"/>
        <v>1</v>
      </c>
      <c r="M677" s="4">
        <v>2.822325041487137</v>
      </c>
      <c r="N677" s="4">
        <v>20.380539800184739</v>
      </c>
      <c r="O677" s="4">
        <v>57.954853951555151</v>
      </c>
      <c r="X677" s="22">
        <f t="shared" si="42"/>
        <v>68.720217530715189</v>
      </c>
      <c r="Y677" s="2">
        <f t="shared" si="43"/>
        <v>115.89305299150543</v>
      </c>
    </row>
    <row r="678" spans="1:25">
      <c r="A678" s="2" t="s">
        <v>5</v>
      </c>
      <c r="B678" s="2" t="s">
        <v>17</v>
      </c>
      <c r="C678" s="2">
        <v>9.6226613210744212</v>
      </c>
      <c r="D678" s="2">
        <v>194.88485096474321</v>
      </c>
      <c r="E678" s="2">
        <v>472.19387859043093</v>
      </c>
      <c r="J678" s="4">
        <v>1</v>
      </c>
      <c r="K678" s="4">
        <f t="shared" si="40"/>
        <v>1</v>
      </c>
      <c r="L678" s="4">
        <f t="shared" si="41"/>
        <v>6</v>
      </c>
      <c r="M678" s="4">
        <v>9.6226613210744212</v>
      </c>
      <c r="N678" s="4">
        <v>194.88485096474321</v>
      </c>
      <c r="O678" s="4">
        <v>472.19387859043093</v>
      </c>
      <c r="X678" s="22">
        <f t="shared" si="42"/>
        <v>411.09468029790412</v>
      </c>
      <c r="Y678" s="2">
        <f t="shared" si="43"/>
        <v>3733.1120319895108</v>
      </c>
    </row>
    <row r="679" spans="1:25">
      <c r="A679" s="2" t="s">
        <v>10</v>
      </c>
      <c r="B679" s="2" t="s">
        <v>15</v>
      </c>
      <c r="C679" s="2">
        <v>4.3114667617187603</v>
      </c>
      <c r="D679" s="2">
        <v>52.963812937437673</v>
      </c>
      <c r="E679" s="2">
        <v>107.65623280311389</v>
      </c>
      <c r="J679" s="4">
        <v>1</v>
      </c>
      <c r="K679" s="4">
        <f t="shared" si="40"/>
        <v>6</v>
      </c>
      <c r="L679" s="4">
        <f t="shared" si="41"/>
        <v>4</v>
      </c>
      <c r="M679" s="4">
        <v>4.3114667617187603</v>
      </c>
      <c r="N679" s="4">
        <v>52.963812937437673</v>
      </c>
      <c r="O679" s="4">
        <v>107.65623280311389</v>
      </c>
      <c r="X679" s="22">
        <f t="shared" si="42"/>
        <v>131.52947947963767</v>
      </c>
      <c r="Y679" s="2">
        <f t="shared" si="43"/>
        <v>569.93190687815354</v>
      </c>
    </row>
    <row r="680" spans="1:25">
      <c r="A680" s="2" t="s">
        <v>7</v>
      </c>
      <c r="B680" s="2" t="s">
        <v>14</v>
      </c>
      <c r="C680" s="2">
        <v>3.9423845470427121</v>
      </c>
      <c r="D680" s="2">
        <v>67.797756730893354</v>
      </c>
      <c r="E680" s="2">
        <v>164.8695142038562</v>
      </c>
      <c r="J680" s="4">
        <v>1</v>
      </c>
      <c r="K680" s="4">
        <f t="shared" si="40"/>
        <v>2</v>
      </c>
      <c r="L680" s="4">
        <f t="shared" si="41"/>
        <v>3</v>
      </c>
      <c r="M680" s="4">
        <v>3.9423845470427121</v>
      </c>
      <c r="N680" s="4">
        <v>67.797756730893354</v>
      </c>
      <c r="O680" s="4">
        <v>164.8695142038562</v>
      </c>
      <c r="X680" s="22">
        <f t="shared" si="42"/>
        <v>151.99435645461358</v>
      </c>
      <c r="Y680" s="2">
        <f t="shared" si="43"/>
        <v>165.76968706788224</v>
      </c>
    </row>
    <row r="681" spans="1:25">
      <c r="A681" s="2" t="s">
        <v>6</v>
      </c>
      <c r="B681" s="2" t="s">
        <v>13</v>
      </c>
      <c r="C681" s="2">
        <v>2.3399924529920022</v>
      </c>
      <c r="D681" s="2">
        <v>67.749077328455201</v>
      </c>
      <c r="E681" s="2">
        <v>118.65308787306149</v>
      </c>
      <c r="J681" s="4">
        <v>1</v>
      </c>
      <c r="K681" s="4">
        <f t="shared" si="40"/>
        <v>3</v>
      </c>
      <c r="L681" s="4">
        <f t="shared" si="41"/>
        <v>2</v>
      </c>
      <c r="M681" s="4">
        <v>2.3399924529920022</v>
      </c>
      <c r="N681" s="4">
        <v>67.749077328455201</v>
      </c>
      <c r="O681" s="4">
        <v>118.65308787306149</v>
      </c>
      <c r="X681" s="22">
        <f t="shared" si="42"/>
        <v>131.62245734982992</v>
      </c>
      <c r="Y681" s="2">
        <f t="shared" si="43"/>
        <v>168.20454462493237</v>
      </c>
    </row>
    <row r="682" spans="1:25">
      <c r="A682" s="2" t="s">
        <v>11</v>
      </c>
      <c r="B682" s="2" t="s">
        <v>12</v>
      </c>
      <c r="C682" s="2">
        <v>3.7504379394119338</v>
      </c>
      <c r="D682" s="2">
        <v>53.779165802296482</v>
      </c>
      <c r="E682" s="2">
        <v>145.86505722743411</v>
      </c>
      <c r="J682" s="4">
        <v>1</v>
      </c>
      <c r="K682" s="4">
        <f t="shared" si="40"/>
        <v>7</v>
      </c>
      <c r="L682" s="4">
        <f t="shared" si="41"/>
        <v>1</v>
      </c>
      <c r="M682" s="4">
        <v>3.7504379394119338</v>
      </c>
      <c r="N682" s="4">
        <v>53.779165802296482</v>
      </c>
      <c r="O682" s="4">
        <v>145.86505722743411</v>
      </c>
      <c r="X682" s="22">
        <f t="shared" si="42"/>
        <v>125.5435698897511</v>
      </c>
      <c r="Y682" s="2">
        <f t="shared" si="43"/>
        <v>412.96284761561088</v>
      </c>
    </row>
    <row r="683" spans="1:25">
      <c r="A683" s="2" t="s">
        <v>5</v>
      </c>
      <c r="B683" s="2" t="s">
        <v>13</v>
      </c>
      <c r="C683" s="2">
        <v>8.8898568564538039</v>
      </c>
      <c r="D683" s="2">
        <v>10.28002619639917</v>
      </c>
      <c r="E683" s="2">
        <v>118.4480484075674</v>
      </c>
      <c r="J683" s="4">
        <v>1</v>
      </c>
      <c r="K683" s="4">
        <f t="shared" si="40"/>
        <v>1</v>
      </c>
      <c r="L683" s="4">
        <f t="shared" si="41"/>
        <v>2</v>
      </c>
      <c r="M683" s="4">
        <v>8.8898568564538039</v>
      </c>
      <c r="N683" s="4">
        <v>10.28002619639917</v>
      </c>
      <c r="O683" s="4">
        <v>118.4480484075674</v>
      </c>
      <c r="X683" s="22">
        <f t="shared" si="42"/>
        <v>128.28773717282562</v>
      </c>
      <c r="Y683" s="2">
        <f t="shared" si="43"/>
        <v>96.81947499714876</v>
      </c>
    </row>
    <row r="684" spans="1:25">
      <c r="A684" s="2" t="s">
        <v>7</v>
      </c>
      <c r="B684" s="2" t="s">
        <v>15</v>
      </c>
      <c r="C684" s="2">
        <v>9.9670090386452266</v>
      </c>
      <c r="D684" s="2">
        <v>148.57551087671931</v>
      </c>
      <c r="E684" s="2">
        <v>311.61423681555652</v>
      </c>
      <c r="J684" s="4">
        <v>1</v>
      </c>
      <c r="K684" s="4">
        <f t="shared" si="40"/>
        <v>2</v>
      </c>
      <c r="L684" s="4">
        <f t="shared" si="41"/>
        <v>4</v>
      </c>
      <c r="M684" s="4">
        <v>9.9670090386452266</v>
      </c>
      <c r="N684" s="4">
        <v>148.57551087671931</v>
      </c>
      <c r="O684" s="4">
        <v>311.61423681555652</v>
      </c>
      <c r="X684" s="22">
        <f t="shared" si="42"/>
        <v>346.08697346869752</v>
      </c>
      <c r="Y684" s="2">
        <f t="shared" si="43"/>
        <v>1188.3695723568107</v>
      </c>
    </row>
    <row r="685" spans="1:25">
      <c r="A685" s="2" t="s">
        <v>5</v>
      </c>
      <c r="B685" s="2" t="s">
        <v>12</v>
      </c>
      <c r="C685" s="2">
        <v>4.3147857745616349</v>
      </c>
      <c r="D685" s="2">
        <v>193.70064496186421</v>
      </c>
      <c r="E685" s="2">
        <v>376.81864921751202</v>
      </c>
      <c r="J685" s="4">
        <v>1</v>
      </c>
      <c r="K685" s="4">
        <f t="shared" si="40"/>
        <v>1</v>
      </c>
      <c r="L685" s="4">
        <f t="shared" si="41"/>
        <v>1</v>
      </c>
      <c r="M685" s="4">
        <v>4.3147857745616349</v>
      </c>
      <c r="N685" s="4">
        <v>193.70064496186421</v>
      </c>
      <c r="O685" s="4">
        <v>376.81864921751202</v>
      </c>
      <c r="X685" s="22">
        <f t="shared" si="42"/>
        <v>344.66835026820485</v>
      </c>
      <c r="Y685" s="2">
        <f t="shared" si="43"/>
        <v>1033.6417225298219</v>
      </c>
    </row>
    <row r="686" spans="1:25">
      <c r="A686" s="2" t="s">
        <v>11</v>
      </c>
      <c r="B686" s="2" t="s">
        <v>17</v>
      </c>
      <c r="C686" s="2">
        <v>5.0374956785908829</v>
      </c>
      <c r="D686" s="2">
        <v>52.615761824158561</v>
      </c>
      <c r="E686" s="2">
        <v>135.5234479016886</v>
      </c>
      <c r="J686" s="4">
        <v>1</v>
      </c>
      <c r="K686" s="4">
        <f t="shared" si="40"/>
        <v>7</v>
      </c>
      <c r="L686" s="4">
        <f t="shared" si="41"/>
        <v>6</v>
      </c>
      <c r="M686" s="4">
        <v>5.0374956785908829</v>
      </c>
      <c r="N686" s="4">
        <v>52.615761824158561</v>
      </c>
      <c r="O686" s="4">
        <v>135.5234479016886</v>
      </c>
      <c r="X686" s="22">
        <f t="shared" si="42"/>
        <v>138.96785069831674</v>
      </c>
      <c r="Y686" s="2">
        <f t="shared" si="43"/>
        <v>11.863910625419749</v>
      </c>
    </row>
    <row r="687" spans="1:25">
      <c r="A687" s="2" t="s">
        <v>8</v>
      </c>
      <c r="B687" s="2" t="s">
        <v>16</v>
      </c>
      <c r="C687" s="2">
        <v>7.4986384438246336</v>
      </c>
      <c r="D687" s="2">
        <v>135.97896644265029</v>
      </c>
      <c r="E687" s="2">
        <v>332.57818271743821</v>
      </c>
      <c r="J687" s="4">
        <v>1</v>
      </c>
      <c r="K687" s="4">
        <f t="shared" si="40"/>
        <v>4</v>
      </c>
      <c r="L687" s="4">
        <f t="shared" si="41"/>
        <v>5</v>
      </c>
      <c r="M687" s="4">
        <v>7.4986384438246336</v>
      </c>
      <c r="N687" s="4">
        <v>135.97896644265029</v>
      </c>
      <c r="O687" s="4">
        <v>332.57818271743821</v>
      </c>
      <c r="X687" s="22">
        <f t="shared" si="42"/>
        <v>295.41905025731603</v>
      </c>
      <c r="Y687" s="2">
        <f t="shared" si="43"/>
        <v>1380.8011251889059</v>
      </c>
    </row>
    <row r="688" spans="1:25">
      <c r="A688" s="2" t="s">
        <v>11</v>
      </c>
      <c r="B688" s="2" t="s">
        <v>13</v>
      </c>
      <c r="C688" s="2">
        <v>8.9757620241856699</v>
      </c>
      <c r="D688" s="2">
        <v>150.96030212215589</v>
      </c>
      <c r="E688" s="2">
        <v>344.81511865328969</v>
      </c>
      <c r="J688" s="4">
        <v>1</v>
      </c>
      <c r="K688" s="4">
        <f t="shared" si="40"/>
        <v>7</v>
      </c>
      <c r="L688" s="4">
        <f t="shared" si="41"/>
        <v>2</v>
      </c>
      <c r="M688" s="4">
        <v>8.9757620241856699</v>
      </c>
      <c r="N688" s="4">
        <v>150.96030212215589</v>
      </c>
      <c r="O688" s="4">
        <v>344.81511865328969</v>
      </c>
      <c r="X688" s="22">
        <f t="shared" si="42"/>
        <v>334.17035124836298</v>
      </c>
      <c r="Y688" s="2">
        <f t="shared" si="43"/>
        <v>113.31107310499014</v>
      </c>
    </row>
    <row r="689" spans="1:25">
      <c r="A689" s="2" t="s">
        <v>10</v>
      </c>
      <c r="B689" s="2" t="s">
        <v>12</v>
      </c>
      <c r="C689" s="2">
        <v>6.3373990076810571</v>
      </c>
      <c r="D689" s="2">
        <v>171.20082202719971</v>
      </c>
      <c r="E689" s="2">
        <v>298.62283417511719</v>
      </c>
      <c r="J689" s="4">
        <v>1</v>
      </c>
      <c r="K689" s="4">
        <f t="shared" si="40"/>
        <v>6</v>
      </c>
      <c r="L689" s="4">
        <f t="shared" si="41"/>
        <v>1</v>
      </c>
      <c r="M689" s="4">
        <v>6.3373990076810571</v>
      </c>
      <c r="N689" s="4">
        <v>171.20082202719971</v>
      </c>
      <c r="O689" s="4">
        <v>298.62283417511719</v>
      </c>
      <c r="X689" s="22">
        <f t="shared" si="42"/>
        <v>332.60590823891857</v>
      </c>
      <c r="Y689" s="2">
        <f t="shared" si="43"/>
        <v>1154.8493228258101</v>
      </c>
    </row>
    <row r="690" spans="1:25">
      <c r="A690" s="2" t="s">
        <v>11</v>
      </c>
      <c r="B690" s="2" t="s">
        <v>13</v>
      </c>
      <c r="C690" s="2">
        <v>4.5237312836004637</v>
      </c>
      <c r="D690" s="2">
        <v>90.29954743258574</v>
      </c>
      <c r="E690" s="2">
        <v>230.4718610806234</v>
      </c>
      <c r="J690" s="4">
        <v>1</v>
      </c>
      <c r="K690" s="4">
        <f t="shared" si="40"/>
        <v>7</v>
      </c>
      <c r="L690" s="4">
        <f t="shared" si="41"/>
        <v>2</v>
      </c>
      <c r="M690" s="4">
        <v>4.5237312836004637</v>
      </c>
      <c r="N690" s="4">
        <v>90.29954743258574</v>
      </c>
      <c r="O690" s="4">
        <v>230.4718610806234</v>
      </c>
      <c r="X690" s="22">
        <f t="shared" si="42"/>
        <v>189.19954699520807</v>
      </c>
      <c r="Y690" s="2">
        <f t="shared" si="43"/>
        <v>1703.4039099651727</v>
      </c>
    </row>
    <row r="691" spans="1:25">
      <c r="A691" s="2" t="s">
        <v>11</v>
      </c>
      <c r="B691" s="2" t="s">
        <v>12</v>
      </c>
      <c r="C691" s="2">
        <v>4.7135965676376141</v>
      </c>
      <c r="D691" s="2">
        <v>67.556872071681553</v>
      </c>
      <c r="E691" s="2">
        <v>160.951761062657</v>
      </c>
      <c r="J691" s="4">
        <v>1</v>
      </c>
      <c r="K691" s="4">
        <f t="shared" si="40"/>
        <v>7</v>
      </c>
      <c r="L691" s="4">
        <f t="shared" si="41"/>
        <v>1</v>
      </c>
      <c r="M691" s="4">
        <v>4.7135965676376141</v>
      </c>
      <c r="N691" s="4">
        <v>67.556872071681553</v>
      </c>
      <c r="O691" s="4">
        <v>160.951761062657</v>
      </c>
      <c r="X691" s="22">
        <f t="shared" si="42"/>
        <v>157.8790683253095</v>
      </c>
      <c r="Y691" s="2">
        <f t="shared" si="43"/>
        <v>9.4414406581480428</v>
      </c>
    </row>
    <row r="692" spans="1:25">
      <c r="A692" s="2" t="s">
        <v>10</v>
      </c>
      <c r="B692" s="2" t="s">
        <v>14</v>
      </c>
      <c r="C692" s="2">
        <v>7.2605633184712621</v>
      </c>
      <c r="D692" s="2">
        <v>71.806075464375908</v>
      </c>
      <c r="E692" s="2">
        <v>253.66243722551749</v>
      </c>
      <c r="J692" s="4">
        <v>1</v>
      </c>
      <c r="K692" s="4">
        <f t="shared" si="40"/>
        <v>6</v>
      </c>
      <c r="L692" s="4">
        <f t="shared" si="41"/>
        <v>3</v>
      </c>
      <c r="M692" s="4">
        <v>7.2605633184712621</v>
      </c>
      <c r="N692" s="4">
        <v>71.806075464375908</v>
      </c>
      <c r="O692" s="4">
        <v>253.66243722551749</v>
      </c>
      <c r="X692" s="22">
        <f t="shared" si="42"/>
        <v>195.98586002436508</v>
      </c>
      <c r="Y692" s="2">
        <f t="shared" si="43"/>
        <v>3326.5875576404942</v>
      </c>
    </row>
    <row r="693" spans="1:25">
      <c r="A693" s="2" t="s">
        <v>6</v>
      </c>
      <c r="B693" s="2" t="s">
        <v>17</v>
      </c>
      <c r="C693" s="2">
        <v>1.028964372438508</v>
      </c>
      <c r="D693" s="2">
        <v>145.39805328871739</v>
      </c>
      <c r="E693" s="2">
        <v>232.72821261014741</v>
      </c>
      <c r="J693" s="4">
        <v>1</v>
      </c>
      <c r="K693" s="4">
        <f t="shared" si="40"/>
        <v>3</v>
      </c>
      <c r="L693" s="4">
        <f t="shared" si="41"/>
        <v>6</v>
      </c>
      <c r="M693" s="4">
        <v>1.028964372438508</v>
      </c>
      <c r="N693" s="4">
        <v>145.39805328871739</v>
      </c>
      <c r="O693" s="4">
        <v>232.72821261014741</v>
      </c>
      <c r="X693" s="22">
        <f t="shared" si="42"/>
        <v>230.31493863295552</v>
      </c>
      <c r="Y693" s="2">
        <f t="shared" si="43"/>
        <v>5.8238912889915726</v>
      </c>
    </row>
    <row r="694" spans="1:25">
      <c r="A694" s="2" t="s">
        <v>11</v>
      </c>
      <c r="B694" s="2" t="s">
        <v>13</v>
      </c>
      <c r="C694" s="2">
        <v>6.5763040371385664</v>
      </c>
      <c r="D694" s="2">
        <v>165.18809863607089</v>
      </c>
      <c r="E694" s="2">
        <v>365.68678889339202</v>
      </c>
      <c r="J694" s="4">
        <v>1</v>
      </c>
      <c r="K694" s="4">
        <f t="shared" si="40"/>
        <v>7</v>
      </c>
      <c r="L694" s="4">
        <f t="shared" si="41"/>
        <v>2</v>
      </c>
      <c r="M694" s="4">
        <v>6.5763040371385664</v>
      </c>
      <c r="N694" s="4">
        <v>165.18809863607089</v>
      </c>
      <c r="O694" s="4">
        <v>365.68678889339202</v>
      </c>
      <c r="X694" s="22">
        <f t="shared" si="42"/>
        <v>325.76668285201782</v>
      </c>
      <c r="Y694" s="2">
        <f t="shared" si="43"/>
        <v>1593.6148663545607</v>
      </c>
    </row>
    <row r="695" spans="1:25">
      <c r="A695" s="2" t="s">
        <v>10</v>
      </c>
      <c r="B695" s="2" t="s">
        <v>16</v>
      </c>
      <c r="C695" s="2">
        <v>4.1994370939722163</v>
      </c>
      <c r="D695" s="2">
        <v>44.506653873754502</v>
      </c>
      <c r="E695" s="2">
        <v>119.9170993578352</v>
      </c>
      <c r="J695" s="4">
        <v>1</v>
      </c>
      <c r="K695" s="4">
        <f t="shared" si="40"/>
        <v>6</v>
      </c>
      <c r="L695" s="4">
        <f t="shared" si="41"/>
        <v>5</v>
      </c>
      <c r="M695" s="4">
        <v>4.1994370939722163</v>
      </c>
      <c r="N695" s="4">
        <v>44.506653873754502</v>
      </c>
      <c r="O695" s="4">
        <v>119.9170993578352</v>
      </c>
      <c r="X695" s="22">
        <f t="shared" si="42"/>
        <v>117.44261917877429</v>
      </c>
      <c r="Y695" s="2">
        <f t="shared" si="43"/>
        <v>6.1230521565652865</v>
      </c>
    </row>
    <row r="696" spans="1:25">
      <c r="A696" s="2" t="s">
        <v>7</v>
      </c>
      <c r="B696" s="2" t="s">
        <v>16</v>
      </c>
      <c r="C696" s="2">
        <v>8.1477759814937585</v>
      </c>
      <c r="D696" s="2">
        <v>80.478791549975384</v>
      </c>
      <c r="E696" s="2">
        <v>194.52122625920899</v>
      </c>
      <c r="J696" s="4">
        <v>1</v>
      </c>
      <c r="K696" s="4">
        <f t="shared" si="40"/>
        <v>2</v>
      </c>
      <c r="L696" s="4">
        <f t="shared" si="41"/>
        <v>5</v>
      </c>
      <c r="M696" s="4">
        <v>8.1477759814937585</v>
      </c>
      <c r="N696" s="4">
        <v>80.478791549975384</v>
      </c>
      <c r="O696" s="4">
        <v>194.52122625920899</v>
      </c>
      <c r="X696" s="22">
        <f t="shared" si="42"/>
        <v>222.34733959946163</v>
      </c>
      <c r="Y696" s="2">
        <f t="shared" si="43"/>
        <v>774.29258362458631</v>
      </c>
    </row>
    <row r="697" spans="1:25">
      <c r="A697" s="2" t="s">
        <v>8</v>
      </c>
      <c r="B697" s="2" t="s">
        <v>15</v>
      </c>
      <c r="C697" s="2">
        <v>1.836915758408189</v>
      </c>
      <c r="D697" s="2">
        <v>181.36863738233851</v>
      </c>
      <c r="E697" s="2">
        <v>246.78021666461001</v>
      </c>
      <c r="J697" s="4">
        <v>1</v>
      </c>
      <c r="K697" s="4">
        <f t="shared" si="40"/>
        <v>4</v>
      </c>
      <c r="L697" s="4">
        <f t="shared" si="41"/>
        <v>4</v>
      </c>
      <c r="M697" s="4">
        <v>1.836915758408189</v>
      </c>
      <c r="N697" s="4">
        <v>181.36863738233851</v>
      </c>
      <c r="O697" s="4">
        <v>246.78021666461001</v>
      </c>
      <c r="X697" s="22">
        <f t="shared" si="42"/>
        <v>293.29169349673066</v>
      </c>
      <c r="Y697" s="2">
        <f t="shared" si="43"/>
        <v>2163.3174771048962</v>
      </c>
    </row>
    <row r="698" spans="1:25">
      <c r="A698" s="2" t="s">
        <v>8</v>
      </c>
      <c r="B698" s="2" t="s">
        <v>12</v>
      </c>
      <c r="C698" s="2">
        <v>6.2938204025355136</v>
      </c>
      <c r="D698" s="2">
        <v>163.27176874200049</v>
      </c>
      <c r="E698" s="2">
        <v>343.24293886478972</v>
      </c>
      <c r="J698" s="4">
        <v>1</v>
      </c>
      <c r="K698" s="4">
        <f t="shared" si="40"/>
        <v>4</v>
      </c>
      <c r="L698" s="4">
        <f t="shared" si="41"/>
        <v>1</v>
      </c>
      <c r="M698" s="4">
        <v>6.2938204025355136</v>
      </c>
      <c r="N698" s="4">
        <v>163.27176874200049</v>
      </c>
      <c r="O698" s="4">
        <v>343.24293886478972</v>
      </c>
      <c r="X698" s="22">
        <f t="shared" si="42"/>
        <v>321.69899404483317</v>
      </c>
      <c r="Y698" s="2">
        <f t="shared" si="43"/>
        <v>464.14155840533266</v>
      </c>
    </row>
    <row r="699" spans="1:25">
      <c r="A699" s="2" t="s">
        <v>11</v>
      </c>
      <c r="B699" s="2" t="s">
        <v>13</v>
      </c>
      <c r="C699" s="2">
        <v>5.3287560089751134</v>
      </c>
      <c r="D699" s="2">
        <v>197.12309652487039</v>
      </c>
      <c r="E699" s="2">
        <v>355.55299265835168</v>
      </c>
      <c r="J699" s="4">
        <v>1</v>
      </c>
      <c r="K699" s="4">
        <f t="shared" si="40"/>
        <v>7</v>
      </c>
      <c r="L699" s="4">
        <f t="shared" si="41"/>
        <v>2</v>
      </c>
      <c r="M699" s="4">
        <v>5.3287560089751134</v>
      </c>
      <c r="N699" s="4">
        <v>197.12309652487039</v>
      </c>
      <c r="O699" s="4">
        <v>355.55299265835168</v>
      </c>
      <c r="X699" s="22">
        <f t="shared" si="42"/>
        <v>357.86243193874475</v>
      </c>
      <c r="Y699" s="2">
        <f t="shared" si="43"/>
        <v>5.3335097898224362</v>
      </c>
    </row>
    <row r="700" spans="1:25">
      <c r="A700" s="2" t="s">
        <v>6</v>
      </c>
      <c r="B700" s="2" t="s">
        <v>15</v>
      </c>
      <c r="C700" s="2">
        <v>6.7809297331470466</v>
      </c>
      <c r="D700" s="2">
        <v>153.3071693395953</v>
      </c>
      <c r="E700" s="2">
        <v>358.28135451383099</v>
      </c>
      <c r="J700" s="4">
        <v>1</v>
      </c>
      <c r="K700" s="4">
        <f t="shared" si="40"/>
        <v>3</v>
      </c>
      <c r="L700" s="4">
        <f t="shared" si="41"/>
        <v>4</v>
      </c>
      <c r="M700" s="4">
        <v>6.7809297331470466</v>
      </c>
      <c r="N700" s="4">
        <v>153.3071693395953</v>
      </c>
      <c r="O700" s="4">
        <v>358.28135451383099</v>
      </c>
      <c r="X700" s="22">
        <f t="shared" si="42"/>
        <v>313.1780196067769</v>
      </c>
      <c r="Y700" s="2">
        <f t="shared" si="43"/>
        <v>2034.310819737884</v>
      </c>
    </row>
    <row r="701" spans="1:25">
      <c r="A701" s="2" t="s">
        <v>6</v>
      </c>
      <c r="B701" s="2" t="s">
        <v>13</v>
      </c>
      <c r="C701" s="2">
        <v>1.583682350346715</v>
      </c>
      <c r="D701" s="2">
        <v>84.707088195305232</v>
      </c>
      <c r="E701" s="2">
        <v>138.02689279264399</v>
      </c>
      <c r="J701" s="4">
        <v>1</v>
      </c>
      <c r="K701" s="4">
        <f t="shared" si="40"/>
        <v>3</v>
      </c>
      <c r="L701" s="4">
        <f t="shared" si="41"/>
        <v>2</v>
      </c>
      <c r="M701" s="4">
        <v>1.583682350346715</v>
      </c>
      <c r="N701" s="4">
        <v>84.707088195305232</v>
      </c>
      <c r="O701" s="4">
        <v>138.02689279264399</v>
      </c>
      <c r="X701" s="22">
        <f t="shared" si="42"/>
        <v>147.51024356164899</v>
      </c>
      <c r="Y701" s="2">
        <f t="shared" si="43"/>
        <v>89.933941807987722</v>
      </c>
    </row>
    <row r="702" spans="1:25">
      <c r="A702" s="2" t="s">
        <v>7</v>
      </c>
      <c r="B702" s="2" t="s">
        <v>12</v>
      </c>
      <c r="C702" s="2">
        <v>6.2198540868531813</v>
      </c>
      <c r="D702" s="2">
        <v>122.2211884589812</v>
      </c>
      <c r="E702" s="2">
        <v>301.02448290997791</v>
      </c>
      <c r="J702" s="4">
        <v>1</v>
      </c>
      <c r="K702" s="4">
        <f t="shared" si="40"/>
        <v>2</v>
      </c>
      <c r="L702" s="4">
        <f t="shared" si="41"/>
        <v>1</v>
      </c>
      <c r="M702" s="4">
        <v>6.2198540868531813</v>
      </c>
      <c r="N702" s="4">
        <v>122.2211884589812</v>
      </c>
      <c r="O702" s="4">
        <v>301.02448290997791</v>
      </c>
      <c r="X702" s="22">
        <f t="shared" si="42"/>
        <v>261.19624169614804</v>
      </c>
      <c r="Y702" s="2">
        <f t="shared" si="43"/>
        <v>1586.2887981870163</v>
      </c>
    </row>
    <row r="703" spans="1:25">
      <c r="A703" s="2" t="s">
        <v>11</v>
      </c>
      <c r="B703" s="2" t="s">
        <v>16</v>
      </c>
      <c r="C703" s="2">
        <v>6.0533612916357136</v>
      </c>
      <c r="D703" s="2">
        <v>135.59270830699089</v>
      </c>
      <c r="E703" s="2">
        <v>230.6792330785</v>
      </c>
      <c r="J703" s="4">
        <v>1</v>
      </c>
      <c r="K703" s="4">
        <f t="shared" si="40"/>
        <v>7</v>
      </c>
      <c r="L703" s="4">
        <f t="shared" si="41"/>
        <v>5</v>
      </c>
      <c r="M703" s="4">
        <v>6.0533612916357136</v>
      </c>
      <c r="N703" s="4">
        <v>135.59270830699089</v>
      </c>
      <c r="O703" s="4">
        <v>230.6792330785</v>
      </c>
      <c r="X703" s="22">
        <f t="shared" si="42"/>
        <v>274.92801795885487</v>
      </c>
      <c r="Y703" s="2">
        <f t="shared" si="43"/>
        <v>1957.954963387921</v>
      </c>
    </row>
    <row r="704" spans="1:25">
      <c r="A704" s="2" t="s">
        <v>8</v>
      </c>
      <c r="B704" s="2" t="s">
        <v>14</v>
      </c>
      <c r="C704" s="2">
        <v>6.0459408497455387</v>
      </c>
      <c r="D704" s="2">
        <v>24.90660510025355</v>
      </c>
      <c r="E704" s="2">
        <v>151.9796224585854</v>
      </c>
      <c r="J704" s="4">
        <v>1</v>
      </c>
      <c r="K704" s="4">
        <f t="shared" si="40"/>
        <v>4</v>
      </c>
      <c r="L704" s="4">
        <f t="shared" si="41"/>
        <v>3</v>
      </c>
      <c r="M704" s="4">
        <v>6.0459408497455387</v>
      </c>
      <c r="N704" s="4">
        <v>24.90660510025355</v>
      </c>
      <c r="O704" s="4">
        <v>151.9796224585854</v>
      </c>
      <c r="X704" s="22">
        <f t="shared" si="42"/>
        <v>112.74481390850778</v>
      </c>
      <c r="Y704" s="2">
        <f t="shared" si="43"/>
        <v>1539.3702019612435</v>
      </c>
    </row>
    <row r="705" spans="1:25">
      <c r="A705" s="2" t="s">
        <v>6</v>
      </c>
      <c r="B705" s="2" t="s">
        <v>16</v>
      </c>
      <c r="C705" s="2">
        <v>6.4313889993680933</v>
      </c>
      <c r="D705" s="2">
        <v>113.4544222297344</v>
      </c>
      <c r="E705" s="2">
        <v>218.02848576123671</v>
      </c>
      <c r="J705" s="4">
        <v>1</v>
      </c>
      <c r="K705" s="4">
        <f t="shared" si="40"/>
        <v>3</v>
      </c>
      <c r="L705" s="4">
        <f t="shared" si="41"/>
        <v>5</v>
      </c>
      <c r="M705" s="4">
        <v>6.4313889993680933</v>
      </c>
      <c r="N705" s="4">
        <v>113.4544222297344</v>
      </c>
      <c r="O705" s="4">
        <v>218.02848576123671</v>
      </c>
      <c r="X705" s="22">
        <f t="shared" si="42"/>
        <v>249.50966011975265</v>
      </c>
      <c r="Y705" s="2">
        <f t="shared" si="43"/>
        <v>991.06433899128172</v>
      </c>
    </row>
    <row r="706" spans="1:25">
      <c r="A706" s="2" t="s">
        <v>11</v>
      </c>
      <c r="B706" s="2" t="s">
        <v>15</v>
      </c>
      <c r="C706" s="2">
        <v>7.0882114350372598</v>
      </c>
      <c r="D706" s="2">
        <v>144.77095740979581</v>
      </c>
      <c r="E706" s="2">
        <v>273.35748669558762</v>
      </c>
      <c r="J706" s="4">
        <v>1</v>
      </c>
      <c r="K706" s="4">
        <f t="shared" si="40"/>
        <v>7</v>
      </c>
      <c r="L706" s="4">
        <f t="shared" si="41"/>
        <v>4</v>
      </c>
      <c r="M706" s="4">
        <v>7.0882114350372598</v>
      </c>
      <c r="N706" s="4">
        <v>144.77095740979581</v>
      </c>
      <c r="O706" s="4">
        <v>273.35748669558762</v>
      </c>
      <c r="X706" s="22">
        <f t="shared" si="42"/>
        <v>301.45031017686443</v>
      </c>
      <c r="Y706" s="2">
        <f t="shared" si="43"/>
        <v>789.20673115017769</v>
      </c>
    </row>
    <row r="707" spans="1:25">
      <c r="A707" s="2" t="s">
        <v>5</v>
      </c>
      <c r="B707" s="2" t="s">
        <v>17</v>
      </c>
      <c r="C707" s="2">
        <v>8.244900997126928</v>
      </c>
      <c r="D707" s="2">
        <v>41.791047760201472</v>
      </c>
      <c r="E707" s="2">
        <v>151.04365486486529</v>
      </c>
      <c r="J707" s="4">
        <v>1</v>
      </c>
      <c r="K707" s="4">
        <f t="shared" si="40"/>
        <v>1</v>
      </c>
      <c r="L707" s="4">
        <f t="shared" si="41"/>
        <v>6</v>
      </c>
      <c r="M707" s="4">
        <v>8.244900997126928</v>
      </c>
      <c r="N707" s="4">
        <v>41.791047760201472</v>
      </c>
      <c r="O707" s="4">
        <v>151.04365486486529</v>
      </c>
      <c r="X707" s="22">
        <f t="shared" si="42"/>
        <v>166.61714090041249</v>
      </c>
      <c r="Y707" s="2">
        <f t="shared" si="43"/>
        <v>242.5334672993838</v>
      </c>
    </row>
    <row r="708" spans="1:25">
      <c r="A708" s="2" t="s">
        <v>6</v>
      </c>
      <c r="B708" s="2" t="s">
        <v>14</v>
      </c>
      <c r="C708" s="2">
        <v>3.4283864811539289</v>
      </c>
      <c r="D708" s="2">
        <v>158.32002631085589</v>
      </c>
      <c r="E708" s="2">
        <v>309.54324643132361</v>
      </c>
      <c r="J708" s="4">
        <v>1</v>
      </c>
      <c r="K708" s="4">
        <f t="shared" ref="K708:K771" si="44">VLOOKUP(A708, $F$3:$G$9, 2, FALSE)</f>
        <v>3</v>
      </c>
      <c r="L708" s="4">
        <f t="shared" ref="L708:L771" si="45">VLOOKUP(B708, $H$3:$I$8, 2, FALSE)</f>
        <v>3</v>
      </c>
      <c r="M708" s="4">
        <v>3.4283864811539289</v>
      </c>
      <c r="N708" s="4">
        <v>158.32002631085589</v>
      </c>
      <c r="O708" s="4">
        <v>309.54324643132361</v>
      </c>
      <c r="X708" s="22">
        <f t="shared" ref="X708:X771" si="46">$U$16+$U$17*K708+$U$18*L708+$U$19*M708+$U$20*N708</f>
        <v>279.48277409283321</v>
      </c>
      <c r="Y708" s="2">
        <f t="shared" ref="Y708:Y771" si="47">POWER(O708-X708,2)</f>
        <v>903.63199721314641</v>
      </c>
    </row>
    <row r="709" spans="1:25">
      <c r="A709" s="2" t="s">
        <v>10</v>
      </c>
      <c r="B709" s="2" t="s">
        <v>15</v>
      </c>
      <c r="C709" s="2">
        <v>8.4254446916205588</v>
      </c>
      <c r="D709" s="2">
        <v>120.91682829768121</v>
      </c>
      <c r="E709" s="2">
        <v>268.77250006525333</v>
      </c>
      <c r="J709" s="4">
        <v>1</v>
      </c>
      <c r="K709" s="4">
        <f t="shared" si="44"/>
        <v>6</v>
      </c>
      <c r="L709" s="4">
        <f t="shared" si="45"/>
        <v>4</v>
      </c>
      <c r="M709" s="4">
        <v>8.4254446916205588</v>
      </c>
      <c r="N709" s="4">
        <v>120.91682829768121</v>
      </c>
      <c r="O709" s="4">
        <v>268.77250006525333</v>
      </c>
      <c r="X709" s="22">
        <f t="shared" si="46"/>
        <v>283.17439323139894</v>
      </c>
      <c r="Y709" s="2">
        <f t="shared" si="47"/>
        <v>207.4145267690717</v>
      </c>
    </row>
    <row r="710" spans="1:25">
      <c r="A710" s="2" t="s">
        <v>5</v>
      </c>
      <c r="B710" s="2" t="s">
        <v>12</v>
      </c>
      <c r="C710" s="2">
        <v>5.4843011403710822</v>
      </c>
      <c r="D710" s="2">
        <v>190.92213928254299</v>
      </c>
      <c r="E710" s="2">
        <v>329.99035716897788</v>
      </c>
      <c r="J710" s="4">
        <v>1</v>
      </c>
      <c r="K710" s="4">
        <f t="shared" si="44"/>
        <v>1</v>
      </c>
      <c r="L710" s="4">
        <f t="shared" si="45"/>
        <v>1</v>
      </c>
      <c r="M710" s="4">
        <v>5.4843011403710822</v>
      </c>
      <c r="N710" s="4">
        <v>190.92213928254299</v>
      </c>
      <c r="O710" s="4">
        <v>329.99035716897788</v>
      </c>
      <c r="X710" s="22">
        <f t="shared" si="46"/>
        <v>354.94091912959323</v>
      </c>
      <c r="Y710" s="2">
        <f t="shared" si="47"/>
        <v>622.53054215050554</v>
      </c>
    </row>
    <row r="711" spans="1:25">
      <c r="A711" s="2" t="s">
        <v>6</v>
      </c>
      <c r="B711" s="2" t="s">
        <v>14</v>
      </c>
      <c r="C711" s="2">
        <v>1.693524512208981</v>
      </c>
      <c r="D711" s="2">
        <v>18.060236659309421</v>
      </c>
      <c r="E711" s="2">
        <v>57.16179852433045</v>
      </c>
      <c r="J711" s="4">
        <v>1</v>
      </c>
      <c r="K711" s="4">
        <f t="shared" si="44"/>
        <v>3</v>
      </c>
      <c r="L711" s="4">
        <f t="shared" si="45"/>
        <v>3</v>
      </c>
      <c r="M711" s="4">
        <v>1.693524512208981</v>
      </c>
      <c r="N711" s="4">
        <v>18.060236659309421</v>
      </c>
      <c r="O711" s="4">
        <v>57.16179852433045</v>
      </c>
      <c r="X711" s="22">
        <f t="shared" si="46"/>
        <v>49.68032713448374</v>
      </c>
      <c r="Y711" s="2">
        <f t="shared" si="47"/>
        <v>55.972414157094867</v>
      </c>
    </row>
    <row r="712" spans="1:25">
      <c r="A712" s="2" t="s">
        <v>8</v>
      </c>
      <c r="B712" s="2" t="s">
        <v>15</v>
      </c>
      <c r="C712" s="2">
        <v>1.526958363195813</v>
      </c>
      <c r="D712" s="2">
        <v>60.411966135538727</v>
      </c>
      <c r="E712" s="2">
        <v>121.2995439521023</v>
      </c>
      <c r="J712" s="4">
        <v>1</v>
      </c>
      <c r="K712" s="4">
        <f t="shared" si="44"/>
        <v>4</v>
      </c>
      <c r="L712" s="4">
        <f t="shared" si="45"/>
        <v>4</v>
      </c>
      <c r="M712" s="4">
        <v>1.526958363195813</v>
      </c>
      <c r="N712" s="4">
        <v>60.411966135538727</v>
      </c>
      <c r="O712" s="4">
        <v>121.2995439521023</v>
      </c>
      <c r="X712" s="22">
        <f t="shared" si="46"/>
        <v>109.72206269888551</v>
      </c>
      <c r="Y712" s="2">
        <f t="shared" si="47"/>
        <v>134.03807216858618</v>
      </c>
    </row>
    <row r="713" spans="1:25">
      <c r="A713" s="2" t="s">
        <v>9</v>
      </c>
      <c r="B713" s="2" t="s">
        <v>12</v>
      </c>
      <c r="C713" s="2">
        <v>4.0081448682645471</v>
      </c>
      <c r="D713" s="2">
        <v>124.29523706696661</v>
      </c>
      <c r="E713" s="2">
        <v>260.67366026909542</v>
      </c>
      <c r="J713" s="4">
        <v>1</v>
      </c>
      <c r="K713" s="4">
        <f t="shared" si="44"/>
        <v>5</v>
      </c>
      <c r="L713" s="4">
        <f t="shared" si="45"/>
        <v>1</v>
      </c>
      <c r="M713" s="4">
        <v>4.0081448682645471</v>
      </c>
      <c r="N713" s="4">
        <v>124.29523706696661</v>
      </c>
      <c r="O713" s="4">
        <v>260.67366026909542</v>
      </c>
      <c r="X713" s="22">
        <f t="shared" si="46"/>
        <v>234.92342904940591</v>
      </c>
      <c r="Y713" s="2">
        <f t="shared" si="47"/>
        <v>663.07440786747236</v>
      </c>
    </row>
    <row r="714" spans="1:25">
      <c r="A714" s="2" t="s">
        <v>5</v>
      </c>
      <c r="B714" s="2" t="s">
        <v>16</v>
      </c>
      <c r="C714" s="2">
        <v>8.0640727940032075</v>
      </c>
      <c r="D714" s="2">
        <v>66.346383319126829</v>
      </c>
      <c r="E714" s="2">
        <v>239.9523892363496</v>
      </c>
      <c r="J714" s="4">
        <v>1</v>
      </c>
      <c r="K714" s="4">
        <f t="shared" si="44"/>
        <v>1</v>
      </c>
      <c r="L714" s="4">
        <f t="shared" si="45"/>
        <v>5</v>
      </c>
      <c r="M714" s="4">
        <v>8.0640727940032075</v>
      </c>
      <c r="N714" s="4">
        <v>66.346383319126829</v>
      </c>
      <c r="O714" s="4">
        <v>239.9523892363496</v>
      </c>
      <c r="X714" s="22">
        <f t="shared" si="46"/>
        <v>201.02105289003222</v>
      </c>
      <c r="Y714" s="2">
        <f t="shared" si="47"/>
        <v>1515.6489497100927</v>
      </c>
    </row>
    <row r="715" spans="1:25">
      <c r="A715" s="2" t="s">
        <v>7</v>
      </c>
      <c r="B715" s="2" t="s">
        <v>17</v>
      </c>
      <c r="C715" s="2">
        <v>7.3691284126682417</v>
      </c>
      <c r="D715" s="2">
        <v>145.74059117353599</v>
      </c>
      <c r="E715" s="2">
        <v>278.13858005322982</v>
      </c>
      <c r="J715" s="4">
        <v>1</v>
      </c>
      <c r="K715" s="4">
        <f t="shared" si="44"/>
        <v>2</v>
      </c>
      <c r="L715" s="4">
        <f t="shared" si="45"/>
        <v>6</v>
      </c>
      <c r="M715" s="4">
        <v>7.3691284126682417</v>
      </c>
      <c r="N715" s="4">
        <v>145.74059117353599</v>
      </c>
      <c r="O715" s="4">
        <v>278.13858005322982</v>
      </c>
      <c r="X715" s="22">
        <f t="shared" si="46"/>
        <v>309.60474749281815</v>
      </c>
      <c r="Y715" s="2">
        <f t="shared" si="47"/>
        <v>990.11969333620891</v>
      </c>
    </row>
    <row r="716" spans="1:25">
      <c r="A716" s="2" t="s">
        <v>7</v>
      </c>
      <c r="B716" s="2" t="s">
        <v>12</v>
      </c>
      <c r="C716" s="2">
        <v>8.0975346820516592</v>
      </c>
      <c r="D716" s="2">
        <v>154.21100367916691</v>
      </c>
      <c r="E716" s="2">
        <v>328.38032203417328</v>
      </c>
      <c r="J716" s="4">
        <v>1</v>
      </c>
      <c r="K716" s="4">
        <f t="shared" si="44"/>
        <v>2</v>
      </c>
      <c r="L716" s="4">
        <f t="shared" si="45"/>
        <v>1</v>
      </c>
      <c r="M716" s="4">
        <v>8.0975346820516592</v>
      </c>
      <c r="N716" s="4">
        <v>154.21100367916691</v>
      </c>
      <c r="O716" s="4">
        <v>328.38032203417328</v>
      </c>
      <c r="X716" s="22">
        <f t="shared" si="46"/>
        <v>331.85824583935897</v>
      </c>
      <c r="Y716" s="2">
        <f t="shared" si="47"/>
        <v>12.095953994677354</v>
      </c>
    </row>
    <row r="717" spans="1:25">
      <c r="A717" s="2" t="s">
        <v>8</v>
      </c>
      <c r="B717" s="2" t="s">
        <v>13</v>
      </c>
      <c r="C717" s="2">
        <v>5.6554215079744843</v>
      </c>
      <c r="D717" s="2">
        <v>29.478033172630141</v>
      </c>
      <c r="E717" s="2">
        <v>146.72971791105559</v>
      </c>
      <c r="J717" s="4">
        <v>1</v>
      </c>
      <c r="K717" s="4">
        <f t="shared" si="44"/>
        <v>4</v>
      </c>
      <c r="L717" s="4">
        <f t="shared" si="45"/>
        <v>2</v>
      </c>
      <c r="M717" s="4">
        <v>5.6554215079744843</v>
      </c>
      <c r="N717" s="4">
        <v>29.478033172630141</v>
      </c>
      <c r="O717" s="4">
        <v>146.72971791105559</v>
      </c>
      <c r="X717" s="22">
        <f t="shared" si="46"/>
        <v>114.86861512985411</v>
      </c>
      <c r="Y717" s="2">
        <f t="shared" si="47"/>
        <v>1015.1298704342847</v>
      </c>
    </row>
    <row r="718" spans="1:25">
      <c r="A718" s="2" t="s">
        <v>6</v>
      </c>
      <c r="B718" s="2" t="s">
        <v>12</v>
      </c>
      <c r="C718" s="2">
        <v>4.9617909815994148</v>
      </c>
      <c r="D718" s="2">
        <v>107.6323481992859</v>
      </c>
      <c r="E718" s="2">
        <v>247.0144058004233</v>
      </c>
      <c r="J718" s="4">
        <v>1</v>
      </c>
      <c r="K718" s="4">
        <f t="shared" si="44"/>
        <v>3</v>
      </c>
      <c r="L718" s="4">
        <f t="shared" si="45"/>
        <v>1</v>
      </c>
      <c r="M718" s="4">
        <v>4.9617909815994148</v>
      </c>
      <c r="N718" s="4">
        <v>107.6323481992859</v>
      </c>
      <c r="O718" s="4">
        <v>247.0144058004233</v>
      </c>
      <c r="X718" s="22">
        <f t="shared" si="46"/>
        <v>223.31728843022756</v>
      </c>
      <c r="Y718" s="2">
        <f t="shared" si="47"/>
        <v>561.55337165683272</v>
      </c>
    </row>
    <row r="719" spans="1:25">
      <c r="A719" s="2" t="s">
        <v>11</v>
      </c>
      <c r="B719" s="2" t="s">
        <v>12</v>
      </c>
      <c r="C719" s="2">
        <v>2.327072740356555</v>
      </c>
      <c r="D719" s="2">
        <v>106.6892055623006</v>
      </c>
      <c r="E719" s="2">
        <v>204.58691237445311</v>
      </c>
      <c r="J719" s="4">
        <v>1</v>
      </c>
      <c r="K719" s="4">
        <f t="shared" si="44"/>
        <v>7</v>
      </c>
      <c r="L719" s="4">
        <f t="shared" si="45"/>
        <v>1</v>
      </c>
      <c r="M719" s="4">
        <v>2.327072740356555</v>
      </c>
      <c r="N719" s="4">
        <v>106.6892055623006</v>
      </c>
      <c r="O719" s="4">
        <v>204.58691237445311</v>
      </c>
      <c r="X719" s="22">
        <f t="shared" si="46"/>
        <v>186.64510773864771</v>
      </c>
      <c r="Y719" s="2">
        <f t="shared" si="47"/>
        <v>321.90835358940802</v>
      </c>
    </row>
    <row r="720" spans="1:25">
      <c r="A720" s="2" t="s">
        <v>6</v>
      </c>
      <c r="B720" s="2" t="s">
        <v>17</v>
      </c>
      <c r="C720" s="2">
        <v>3.9537347824838038</v>
      </c>
      <c r="D720" s="2">
        <v>80.163346340952799</v>
      </c>
      <c r="E720" s="2">
        <v>158.76850359507239</v>
      </c>
      <c r="J720" s="4">
        <v>1</v>
      </c>
      <c r="K720" s="4">
        <f t="shared" si="44"/>
        <v>3</v>
      </c>
      <c r="L720" s="4">
        <f t="shared" si="45"/>
        <v>6</v>
      </c>
      <c r="M720" s="4">
        <v>3.9537347824838038</v>
      </c>
      <c r="N720" s="4">
        <v>80.163346340952799</v>
      </c>
      <c r="O720" s="4">
        <v>158.76850359507239</v>
      </c>
      <c r="X720" s="22">
        <f t="shared" si="46"/>
        <v>169.38646391794202</v>
      </c>
      <c r="Y720" s="2">
        <f t="shared" si="47"/>
        <v>112.74108141803384</v>
      </c>
    </row>
    <row r="721" spans="1:25">
      <c r="A721" s="2" t="s">
        <v>8</v>
      </c>
      <c r="B721" s="2" t="s">
        <v>13</v>
      </c>
      <c r="C721" s="2">
        <v>4.9061742955648766</v>
      </c>
      <c r="D721" s="2">
        <v>187.2557238882377</v>
      </c>
      <c r="E721" s="2">
        <v>361.0762060371419</v>
      </c>
      <c r="J721" s="4">
        <v>1</v>
      </c>
      <c r="K721" s="4">
        <f t="shared" si="44"/>
        <v>4</v>
      </c>
      <c r="L721" s="4">
        <f t="shared" si="45"/>
        <v>2</v>
      </c>
      <c r="M721" s="4">
        <v>4.9061742955648766</v>
      </c>
      <c r="N721" s="4">
        <v>187.2557238882377</v>
      </c>
      <c r="O721" s="4">
        <v>361.0762060371419</v>
      </c>
      <c r="X721" s="22">
        <f t="shared" si="46"/>
        <v>340.11437731875128</v>
      </c>
      <c r="Y721" s="2">
        <f t="shared" si="47"/>
        <v>439.39826321914575</v>
      </c>
    </row>
    <row r="722" spans="1:25">
      <c r="A722" s="2" t="s">
        <v>7</v>
      </c>
      <c r="B722" s="2" t="s">
        <v>15</v>
      </c>
      <c r="C722" s="2">
        <v>1.7974038671165551</v>
      </c>
      <c r="D722" s="2">
        <v>167.22620077591199</v>
      </c>
      <c r="E722" s="2">
        <v>220.32855161647529</v>
      </c>
      <c r="J722" s="4">
        <v>1</v>
      </c>
      <c r="K722" s="4">
        <f t="shared" si="44"/>
        <v>2</v>
      </c>
      <c r="L722" s="4">
        <f t="shared" si="45"/>
        <v>4</v>
      </c>
      <c r="M722" s="4">
        <v>1.7974038671165551</v>
      </c>
      <c r="N722" s="4">
        <v>167.22620077591199</v>
      </c>
      <c r="O722" s="4">
        <v>220.32855161647529</v>
      </c>
      <c r="X722" s="22">
        <f t="shared" si="46"/>
        <v>273.20119841656526</v>
      </c>
      <c r="Y722" s="2">
        <f t="shared" si="47"/>
        <v>2795.5167796470637</v>
      </c>
    </row>
    <row r="723" spans="1:25">
      <c r="A723" s="2" t="s">
        <v>6</v>
      </c>
      <c r="B723" s="2" t="s">
        <v>15</v>
      </c>
      <c r="C723" s="2">
        <v>2.9855075744009012</v>
      </c>
      <c r="D723" s="2">
        <v>142.469782562831</v>
      </c>
      <c r="E723" s="2">
        <v>260.66251192618228</v>
      </c>
      <c r="J723" s="4">
        <v>1</v>
      </c>
      <c r="K723" s="4">
        <f t="shared" si="44"/>
        <v>3</v>
      </c>
      <c r="L723" s="4">
        <f t="shared" si="45"/>
        <v>4</v>
      </c>
      <c r="M723" s="4">
        <v>2.9855075744009012</v>
      </c>
      <c r="N723" s="4">
        <v>142.469782562831</v>
      </c>
      <c r="O723" s="4">
        <v>260.66251192618228</v>
      </c>
      <c r="X723" s="22">
        <f t="shared" si="46"/>
        <v>250.33495526315738</v>
      </c>
      <c r="Y723" s="2">
        <f t="shared" si="47"/>
        <v>106.65842662798987</v>
      </c>
    </row>
    <row r="724" spans="1:25">
      <c r="A724" s="2" t="s">
        <v>7</v>
      </c>
      <c r="B724" s="2" t="s">
        <v>12</v>
      </c>
      <c r="C724" s="2">
        <v>6.3840276465736494</v>
      </c>
      <c r="D724" s="2">
        <v>145.7220607896495</v>
      </c>
      <c r="E724" s="2">
        <v>336.65841387642871</v>
      </c>
      <c r="J724" s="4">
        <v>1</v>
      </c>
      <c r="K724" s="4">
        <f t="shared" si="44"/>
        <v>2</v>
      </c>
      <c r="L724" s="4">
        <f t="shared" si="45"/>
        <v>1</v>
      </c>
      <c r="M724" s="4">
        <v>6.3840276465736494</v>
      </c>
      <c r="N724" s="4">
        <v>145.7220607896495</v>
      </c>
      <c r="O724" s="4">
        <v>336.65841387642871</v>
      </c>
      <c r="X724" s="22">
        <f t="shared" si="46"/>
        <v>298.14237179594494</v>
      </c>
      <c r="Y724" s="2">
        <f t="shared" si="47"/>
        <v>1483.4854975455967</v>
      </c>
    </row>
    <row r="725" spans="1:25">
      <c r="A725" s="2" t="s">
        <v>5</v>
      </c>
      <c r="B725" s="2" t="s">
        <v>13</v>
      </c>
      <c r="C725" s="2">
        <v>7.6209680281527081</v>
      </c>
      <c r="D725" s="2">
        <v>97.726067324492632</v>
      </c>
      <c r="E725" s="2">
        <v>233.97394428048381</v>
      </c>
      <c r="J725" s="4">
        <v>1</v>
      </c>
      <c r="K725" s="4">
        <f t="shared" si="44"/>
        <v>1</v>
      </c>
      <c r="L725" s="4">
        <f t="shared" si="45"/>
        <v>2</v>
      </c>
      <c r="M725" s="4">
        <v>7.6209680281527081</v>
      </c>
      <c r="N725" s="4">
        <v>97.726067324492632</v>
      </c>
      <c r="O725" s="4">
        <v>233.97394428048381</v>
      </c>
      <c r="X725" s="22">
        <f t="shared" si="46"/>
        <v>242.61520884030858</v>
      </c>
      <c r="Y725" s="2">
        <f t="shared" si="47"/>
        <v>74.671453192883689</v>
      </c>
    </row>
    <row r="726" spans="1:25">
      <c r="A726" s="2" t="s">
        <v>11</v>
      </c>
      <c r="B726" s="2" t="s">
        <v>13</v>
      </c>
      <c r="C726" s="2">
        <v>9.9851276025365472</v>
      </c>
      <c r="D726" s="2">
        <v>184.98895900834941</v>
      </c>
      <c r="E726" s="2">
        <v>365.62595934790812</v>
      </c>
      <c r="J726" s="4">
        <v>1</v>
      </c>
      <c r="K726" s="4">
        <f t="shared" si="44"/>
        <v>7</v>
      </c>
      <c r="L726" s="4">
        <f t="shared" si="45"/>
        <v>2</v>
      </c>
      <c r="M726" s="4">
        <v>9.9851276025365472</v>
      </c>
      <c r="N726" s="4">
        <v>184.98895900834941</v>
      </c>
      <c r="O726" s="4">
        <v>365.62595934790812</v>
      </c>
      <c r="X726" s="22">
        <f t="shared" si="46"/>
        <v>397.16962883071238</v>
      </c>
      <c r="Y726" s="2">
        <f t="shared" si="47"/>
        <v>995.00308444039683</v>
      </c>
    </row>
    <row r="727" spans="1:25">
      <c r="A727" s="2" t="s">
        <v>5</v>
      </c>
      <c r="B727" s="2" t="s">
        <v>17</v>
      </c>
      <c r="C727" s="2">
        <v>9.3980199820920198</v>
      </c>
      <c r="D727" s="2">
        <v>141.97313117812419</v>
      </c>
      <c r="E727" s="2">
        <v>390.14200636801593</v>
      </c>
      <c r="J727" s="4">
        <v>1</v>
      </c>
      <c r="K727" s="4">
        <f t="shared" si="44"/>
        <v>1</v>
      </c>
      <c r="L727" s="4">
        <f t="shared" si="45"/>
        <v>6</v>
      </c>
      <c r="M727" s="4">
        <v>9.3980199820920198</v>
      </c>
      <c r="N727" s="4">
        <v>141.97313117812419</v>
      </c>
      <c r="O727" s="4">
        <v>390.14200636801593</v>
      </c>
      <c r="X727" s="22">
        <f t="shared" si="46"/>
        <v>329.69671032846247</v>
      </c>
      <c r="Y727" s="2">
        <f t="shared" si="47"/>
        <v>3653.6338133092568</v>
      </c>
    </row>
    <row r="728" spans="1:25">
      <c r="A728" s="2" t="s">
        <v>7</v>
      </c>
      <c r="B728" s="2" t="s">
        <v>16</v>
      </c>
      <c r="C728" s="2">
        <v>6.7830867958167236</v>
      </c>
      <c r="D728" s="2">
        <v>148.50640171460509</v>
      </c>
      <c r="E728" s="2">
        <v>335.15174847835613</v>
      </c>
      <c r="J728" s="4">
        <v>1</v>
      </c>
      <c r="K728" s="4">
        <f t="shared" si="44"/>
        <v>2</v>
      </c>
      <c r="L728" s="4">
        <f t="shared" si="45"/>
        <v>5</v>
      </c>
      <c r="M728" s="4">
        <v>6.7830867958167236</v>
      </c>
      <c r="N728" s="4">
        <v>148.50640171460509</v>
      </c>
      <c r="O728" s="4">
        <v>335.15174847835613</v>
      </c>
      <c r="X728" s="22">
        <f t="shared" si="46"/>
        <v>306.63752818947665</v>
      </c>
      <c r="Y728" s="2">
        <f t="shared" si="47"/>
        <v>813.0607586827457</v>
      </c>
    </row>
    <row r="729" spans="1:25">
      <c r="A729" s="2" t="s">
        <v>7</v>
      </c>
      <c r="B729" s="2" t="s">
        <v>15</v>
      </c>
      <c r="C729" s="2">
        <v>4.7912324796466486</v>
      </c>
      <c r="D729" s="2">
        <v>173.72127171959559</v>
      </c>
      <c r="E729" s="2">
        <v>319.01848470677669</v>
      </c>
      <c r="J729" s="4">
        <v>1</v>
      </c>
      <c r="K729" s="4">
        <f t="shared" si="44"/>
        <v>2</v>
      </c>
      <c r="L729" s="4">
        <f t="shared" si="45"/>
        <v>4</v>
      </c>
      <c r="M729" s="4">
        <v>4.7912324796466486</v>
      </c>
      <c r="N729" s="4">
        <v>173.72127171959559</v>
      </c>
      <c r="O729" s="4">
        <v>319.01848470677669</v>
      </c>
      <c r="X729" s="22">
        <f t="shared" si="46"/>
        <v>319.7201726807038</v>
      </c>
      <c r="Y729" s="2">
        <f t="shared" si="47"/>
        <v>0.49236601275392922</v>
      </c>
    </row>
    <row r="730" spans="1:25">
      <c r="A730" s="2" t="s">
        <v>9</v>
      </c>
      <c r="B730" s="2" t="s">
        <v>17</v>
      </c>
      <c r="C730" s="2">
        <v>6.7255962823740942</v>
      </c>
      <c r="D730" s="2">
        <v>62.073601975016288</v>
      </c>
      <c r="E730" s="2">
        <v>131.4956457690117</v>
      </c>
      <c r="J730" s="4">
        <v>1</v>
      </c>
      <c r="K730" s="4">
        <f t="shared" si="44"/>
        <v>5</v>
      </c>
      <c r="L730" s="4">
        <f t="shared" si="45"/>
        <v>6</v>
      </c>
      <c r="M730" s="4">
        <v>6.7255962823740942</v>
      </c>
      <c r="N730" s="4">
        <v>62.073601975016288</v>
      </c>
      <c r="O730" s="4">
        <v>131.4956457690117</v>
      </c>
      <c r="X730" s="22">
        <f t="shared" si="46"/>
        <v>175.22376017920374</v>
      </c>
      <c r="Y730" s="2">
        <f t="shared" si="47"/>
        <v>1912.1479898708442</v>
      </c>
    </row>
    <row r="731" spans="1:25">
      <c r="A731" s="2" t="s">
        <v>9</v>
      </c>
      <c r="B731" s="2" t="s">
        <v>14</v>
      </c>
      <c r="C731" s="2">
        <v>8.0708645627220879</v>
      </c>
      <c r="D731" s="2">
        <v>163.34347173467361</v>
      </c>
      <c r="E731" s="2">
        <v>320.48264321346261</v>
      </c>
      <c r="J731" s="4">
        <v>1</v>
      </c>
      <c r="K731" s="4">
        <f t="shared" si="44"/>
        <v>5</v>
      </c>
      <c r="L731" s="4">
        <f t="shared" si="45"/>
        <v>3</v>
      </c>
      <c r="M731" s="4">
        <v>8.0708645627220879</v>
      </c>
      <c r="N731" s="4">
        <v>163.34347173467361</v>
      </c>
      <c r="O731" s="4">
        <v>320.48264321346261</v>
      </c>
      <c r="X731" s="22">
        <f t="shared" si="46"/>
        <v>342.70360441304763</v>
      </c>
      <c r="Y731" s="2">
        <f t="shared" si="47"/>
        <v>493.7711166334629</v>
      </c>
    </row>
    <row r="732" spans="1:25">
      <c r="A732" s="2" t="s">
        <v>5</v>
      </c>
      <c r="B732" s="2" t="s">
        <v>15</v>
      </c>
      <c r="C732" s="2">
        <v>2.0650257183104861</v>
      </c>
      <c r="D732" s="2">
        <v>47.095714561733487</v>
      </c>
      <c r="E732" s="2">
        <v>91.672312314308158</v>
      </c>
      <c r="J732" s="4">
        <v>1</v>
      </c>
      <c r="K732" s="4">
        <f t="shared" si="44"/>
        <v>1</v>
      </c>
      <c r="L732" s="4">
        <f t="shared" si="45"/>
        <v>4</v>
      </c>
      <c r="M732" s="4">
        <v>2.0650257183104861</v>
      </c>
      <c r="N732" s="4">
        <v>47.095714561733487</v>
      </c>
      <c r="O732" s="4">
        <v>91.672312314308158</v>
      </c>
      <c r="X732" s="22">
        <f t="shared" si="46"/>
        <v>98.678312476389564</v>
      </c>
      <c r="Y732" s="2">
        <f t="shared" si="47"/>
        <v>49.084038271084694</v>
      </c>
    </row>
    <row r="733" spans="1:25">
      <c r="A733" s="2" t="s">
        <v>10</v>
      </c>
      <c r="B733" s="2" t="s">
        <v>17</v>
      </c>
      <c r="C733" s="2">
        <v>4.6891440072665942</v>
      </c>
      <c r="D733" s="2">
        <v>75.614970926528684</v>
      </c>
      <c r="E733" s="2">
        <v>132.71083929102639</v>
      </c>
      <c r="J733" s="4">
        <v>1</v>
      </c>
      <c r="K733" s="4">
        <f t="shared" si="44"/>
        <v>6</v>
      </c>
      <c r="L733" s="4">
        <f t="shared" si="45"/>
        <v>6</v>
      </c>
      <c r="M733" s="4">
        <v>4.6891440072665942</v>
      </c>
      <c r="N733" s="4">
        <v>75.614970926528684</v>
      </c>
      <c r="O733" s="4">
        <v>132.71083929102639</v>
      </c>
      <c r="X733" s="22">
        <f t="shared" si="46"/>
        <v>169.56362112078085</v>
      </c>
      <c r="Y733" s="2">
        <f t="shared" si="47"/>
        <v>1358.1275285914808</v>
      </c>
    </row>
    <row r="734" spans="1:25">
      <c r="A734" s="2" t="s">
        <v>5</v>
      </c>
      <c r="B734" s="2" t="s">
        <v>15</v>
      </c>
      <c r="C734" s="2">
        <v>8.5582205707205539</v>
      </c>
      <c r="D734" s="2">
        <v>73.765986311270112</v>
      </c>
      <c r="E734" s="2">
        <v>162.9467335299332</v>
      </c>
      <c r="J734" s="4">
        <v>1</v>
      </c>
      <c r="K734" s="4">
        <f t="shared" si="44"/>
        <v>1</v>
      </c>
      <c r="L734" s="4">
        <f t="shared" si="45"/>
        <v>4</v>
      </c>
      <c r="M734" s="4">
        <v>8.5582205707205539</v>
      </c>
      <c r="N734" s="4">
        <v>73.765986311270112</v>
      </c>
      <c r="O734" s="4">
        <v>162.9467335299332</v>
      </c>
      <c r="X734" s="22">
        <f t="shared" si="46"/>
        <v>218.27150058119639</v>
      </c>
      <c r="Y734" s="2">
        <f t="shared" si="47"/>
        <v>3060.8298492765375</v>
      </c>
    </row>
    <row r="735" spans="1:25">
      <c r="A735" s="2" t="s">
        <v>9</v>
      </c>
      <c r="B735" s="2" t="s">
        <v>16</v>
      </c>
      <c r="C735" s="2">
        <v>4.4544965673973964</v>
      </c>
      <c r="D735" s="2">
        <v>195.91983899393671</v>
      </c>
      <c r="E735" s="2">
        <v>350.22359991007579</v>
      </c>
      <c r="J735" s="4">
        <v>1</v>
      </c>
      <c r="K735" s="4">
        <f t="shared" si="44"/>
        <v>5</v>
      </c>
      <c r="L735" s="4">
        <f t="shared" si="45"/>
        <v>5</v>
      </c>
      <c r="M735" s="4">
        <v>4.4544965673973964</v>
      </c>
      <c r="N735" s="4">
        <v>195.91983899393671</v>
      </c>
      <c r="O735" s="4">
        <v>350.22359991007579</v>
      </c>
      <c r="X735" s="22">
        <f t="shared" si="46"/>
        <v>346.30391913927502</v>
      </c>
      <c r="Y735" s="2">
        <f t="shared" si="47"/>
        <v>15.363897344985293</v>
      </c>
    </row>
    <row r="736" spans="1:25">
      <c r="A736" s="2" t="s">
        <v>7</v>
      </c>
      <c r="B736" s="2" t="s">
        <v>14</v>
      </c>
      <c r="C736" s="2">
        <v>6.1468504410446787</v>
      </c>
      <c r="D736" s="2">
        <v>172.74207251210609</v>
      </c>
      <c r="E736" s="2">
        <v>280.62235559401228</v>
      </c>
      <c r="J736" s="4">
        <v>1</v>
      </c>
      <c r="K736" s="4">
        <f t="shared" si="44"/>
        <v>2</v>
      </c>
      <c r="L736" s="4">
        <f t="shared" si="45"/>
        <v>3</v>
      </c>
      <c r="M736" s="4">
        <v>6.1468504410446787</v>
      </c>
      <c r="N736" s="4">
        <v>172.74207251210609</v>
      </c>
      <c r="O736" s="4">
        <v>280.62235559401228</v>
      </c>
      <c r="X736" s="22">
        <f t="shared" si="46"/>
        <v>335.09757150844325</v>
      </c>
      <c r="Y736" s="2">
        <f t="shared" si="47"/>
        <v>2967.5491489238739</v>
      </c>
    </row>
    <row r="737" spans="1:25">
      <c r="A737" s="2" t="s">
        <v>8</v>
      </c>
      <c r="B737" s="2" t="s">
        <v>16</v>
      </c>
      <c r="C737" s="2">
        <v>6.2899242477597843</v>
      </c>
      <c r="D737" s="2">
        <v>143.22227370214941</v>
      </c>
      <c r="E737" s="2">
        <v>286.01778914712321</v>
      </c>
      <c r="J737" s="4">
        <v>1</v>
      </c>
      <c r="K737" s="4">
        <f t="shared" si="44"/>
        <v>4</v>
      </c>
      <c r="L737" s="4">
        <f t="shared" si="45"/>
        <v>5</v>
      </c>
      <c r="M737" s="4">
        <v>6.2899242477597843</v>
      </c>
      <c r="N737" s="4">
        <v>143.22227370214941</v>
      </c>
      <c r="O737" s="4">
        <v>286.01778914712321</v>
      </c>
      <c r="X737" s="22">
        <f t="shared" si="46"/>
        <v>291.29888387267778</v>
      </c>
      <c r="Y737" s="2">
        <f t="shared" si="47"/>
        <v>27.889961500280268</v>
      </c>
    </row>
    <row r="738" spans="1:25">
      <c r="A738" s="2" t="s">
        <v>5</v>
      </c>
      <c r="B738" s="2" t="s">
        <v>14</v>
      </c>
      <c r="C738" s="2">
        <v>2.6602862782027539</v>
      </c>
      <c r="D738" s="2">
        <v>148.14078470692411</v>
      </c>
      <c r="E738" s="2">
        <v>258.41487609035869</v>
      </c>
      <c r="J738" s="4">
        <v>1</v>
      </c>
      <c r="K738" s="4">
        <f t="shared" si="44"/>
        <v>1</v>
      </c>
      <c r="L738" s="4">
        <f t="shared" si="45"/>
        <v>3</v>
      </c>
      <c r="M738" s="4">
        <v>2.6602862782027539</v>
      </c>
      <c r="N738" s="4">
        <v>148.14078470692411</v>
      </c>
      <c r="O738" s="4">
        <v>258.41487609035869</v>
      </c>
      <c r="X738" s="22">
        <f t="shared" si="46"/>
        <v>256.30994569604934</v>
      </c>
      <c r="Y738" s="2">
        <f t="shared" si="47"/>
        <v>4.430731964887312</v>
      </c>
    </row>
    <row r="739" spans="1:25">
      <c r="A739" s="2" t="s">
        <v>7</v>
      </c>
      <c r="B739" s="2" t="s">
        <v>12</v>
      </c>
      <c r="C739" s="2">
        <v>4.2601189748705952</v>
      </c>
      <c r="D739" s="2">
        <v>116.7938309364885</v>
      </c>
      <c r="E739" s="2">
        <v>210.41816607576209</v>
      </c>
      <c r="J739" s="4">
        <v>1</v>
      </c>
      <c r="K739" s="4">
        <f t="shared" si="44"/>
        <v>2</v>
      </c>
      <c r="L739" s="4">
        <f t="shared" si="45"/>
        <v>1</v>
      </c>
      <c r="M739" s="4">
        <v>4.2601189748705952</v>
      </c>
      <c r="N739" s="4">
        <v>116.7938309364885</v>
      </c>
      <c r="O739" s="4">
        <v>210.41816607576209</v>
      </c>
      <c r="X739" s="22">
        <f t="shared" si="46"/>
        <v>228.99805547412041</v>
      </c>
      <c r="Y739" s="2">
        <f t="shared" si="47"/>
        <v>345.21229005522781</v>
      </c>
    </row>
    <row r="740" spans="1:25">
      <c r="A740" s="2" t="s">
        <v>8</v>
      </c>
      <c r="B740" s="2" t="s">
        <v>17</v>
      </c>
      <c r="C740" s="2">
        <v>4.0106015986773897</v>
      </c>
      <c r="D740" s="2">
        <v>189.9472267506186</v>
      </c>
      <c r="E740" s="2">
        <v>385.19429875893911</v>
      </c>
      <c r="J740" s="4">
        <v>1</v>
      </c>
      <c r="K740" s="4">
        <f t="shared" si="44"/>
        <v>4</v>
      </c>
      <c r="L740" s="4">
        <f t="shared" si="45"/>
        <v>6</v>
      </c>
      <c r="M740" s="4">
        <v>4.0106015986773897</v>
      </c>
      <c r="N740" s="4">
        <v>189.9472267506186</v>
      </c>
      <c r="O740" s="4">
        <v>385.19429875893911</v>
      </c>
      <c r="X740" s="22">
        <f t="shared" si="46"/>
        <v>332.52917042993295</v>
      </c>
      <c r="Y740" s="2">
        <f t="shared" si="47"/>
        <v>2773.6157419106876</v>
      </c>
    </row>
    <row r="741" spans="1:25">
      <c r="A741" s="2" t="s">
        <v>8</v>
      </c>
      <c r="B741" s="2" t="s">
        <v>14</v>
      </c>
      <c r="C741" s="2">
        <v>1.235770376788583</v>
      </c>
      <c r="D741" s="2">
        <v>104.2891630476487</v>
      </c>
      <c r="E741" s="2">
        <v>190.07051067435179</v>
      </c>
      <c r="J741" s="4">
        <v>1</v>
      </c>
      <c r="K741" s="4">
        <f t="shared" si="44"/>
        <v>4</v>
      </c>
      <c r="L741" s="4">
        <f t="shared" si="45"/>
        <v>3</v>
      </c>
      <c r="M741" s="4">
        <v>1.235770376788583</v>
      </c>
      <c r="N741" s="4">
        <v>104.2891630476487</v>
      </c>
      <c r="O741" s="4">
        <v>190.07051067435179</v>
      </c>
      <c r="X741" s="22">
        <f t="shared" si="46"/>
        <v>171.4810425629307</v>
      </c>
      <c r="Y741" s="2">
        <f t="shared" si="47"/>
        <v>345.56832466554187</v>
      </c>
    </row>
    <row r="742" spans="1:25">
      <c r="A742" s="2" t="s">
        <v>9</v>
      </c>
      <c r="B742" s="2" t="s">
        <v>16</v>
      </c>
      <c r="C742" s="2">
        <v>1.2177258750221971</v>
      </c>
      <c r="D742" s="2">
        <v>82.298364875279958</v>
      </c>
      <c r="E742" s="2">
        <v>172.98549606883489</v>
      </c>
      <c r="J742" s="4">
        <v>1</v>
      </c>
      <c r="K742" s="4">
        <f t="shared" si="44"/>
        <v>5</v>
      </c>
      <c r="L742" s="4">
        <f t="shared" si="45"/>
        <v>5</v>
      </c>
      <c r="M742" s="4">
        <v>1.2177258750221971</v>
      </c>
      <c r="N742" s="4">
        <v>82.298364875279958</v>
      </c>
      <c r="O742" s="4">
        <v>172.98549606883489</v>
      </c>
      <c r="X742" s="22">
        <f t="shared" si="46"/>
        <v>137.59360720202443</v>
      </c>
      <c r="Y742" s="2">
        <f t="shared" si="47"/>
        <v>1252.5857975606623</v>
      </c>
    </row>
    <row r="743" spans="1:25">
      <c r="A743" s="2" t="s">
        <v>5</v>
      </c>
      <c r="B743" s="2" t="s">
        <v>15</v>
      </c>
      <c r="C743" s="2">
        <v>8.485273393081961</v>
      </c>
      <c r="D743" s="2">
        <v>40.976714017002287</v>
      </c>
      <c r="E743" s="2">
        <v>214.7379642302798</v>
      </c>
      <c r="J743" s="4">
        <v>1</v>
      </c>
      <c r="K743" s="4">
        <f t="shared" si="44"/>
        <v>1</v>
      </c>
      <c r="L743" s="4">
        <f t="shared" si="45"/>
        <v>4</v>
      </c>
      <c r="M743" s="4">
        <v>8.485273393081961</v>
      </c>
      <c r="N743" s="4">
        <v>40.976714017002287</v>
      </c>
      <c r="O743" s="4">
        <v>214.7379642302798</v>
      </c>
      <c r="X743" s="22">
        <f t="shared" si="46"/>
        <v>168.64533632162272</v>
      </c>
      <c r="Y743" s="2">
        <f t="shared" si="47"/>
        <v>2124.5303475259134</v>
      </c>
    </row>
    <row r="744" spans="1:25">
      <c r="A744" s="2" t="s">
        <v>6</v>
      </c>
      <c r="B744" s="2" t="s">
        <v>14</v>
      </c>
      <c r="C744" s="2">
        <v>3.4576372897553118</v>
      </c>
      <c r="D744" s="2">
        <v>159.37907392960099</v>
      </c>
      <c r="E744" s="2">
        <v>257.16103980379899</v>
      </c>
      <c r="J744" s="4">
        <v>1</v>
      </c>
      <c r="K744" s="4">
        <f t="shared" si="44"/>
        <v>3</v>
      </c>
      <c r="L744" s="4">
        <f t="shared" si="45"/>
        <v>3</v>
      </c>
      <c r="M744" s="4">
        <v>3.4576372897553118</v>
      </c>
      <c r="N744" s="4">
        <v>159.37907392960099</v>
      </c>
      <c r="O744" s="4">
        <v>257.16103980379899</v>
      </c>
      <c r="X744" s="22">
        <f t="shared" si="46"/>
        <v>281.41681755745924</v>
      </c>
      <c r="Y744" s="2">
        <f t="shared" si="47"/>
        <v>588.34275443495972</v>
      </c>
    </row>
    <row r="745" spans="1:25">
      <c r="A745" s="2" t="s">
        <v>11</v>
      </c>
      <c r="B745" s="2" t="s">
        <v>17</v>
      </c>
      <c r="C745" s="2">
        <v>5.662708896149339</v>
      </c>
      <c r="D745" s="2">
        <v>149.54434709436239</v>
      </c>
      <c r="E745" s="2">
        <v>340.18565330417653</v>
      </c>
      <c r="J745" s="4">
        <v>1</v>
      </c>
      <c r="K745" s="4">
        <f t="shared" si="44"/>
        <v>7</v>
      </c>
      <c r="L745" s="4">
        <f t="shared" si="45"/>
        <v>6</v>
      </c>
      <c r="M745" s="4">
        <v>5.662708896149339</v>
      </c>
      <c r="N745" s="4">
        <v>149.54434709436239</v>
      </c>
      <c r="O745" s="4">
        <v>340.18565330417653</v>
      </c>
      <c r="X745" s="22">
        <f t="shared" si="46"/>
        <v>290.7116682192609</v>
      </c>
      <c r="Y745" s="2">
        <f t="shared" si="47"/>
        <v>2447.6752001824539</v>
      </c>
    </row>
    <row r="746" spans="1:25">
      <c r="A746" s="2" t="s">
        <v>9</v>
      </c>
      <c r="B746" s="2" t="s">
        <v>14</v>
      </c>
      <c r="C746" s="2">
        <v>3.688530162298957</v>
      </c>
      <c r="D746" s="2">
        <v>83.027457319585622</v>
      </c>
      <c r="E746" s="2">
        <v>128.71913601284319</v>
      </c>
      <c r="J746" s="4">
        <v>1</v>
      </c>
      <c r="K746" s="4">
        <f t="shared" si="44"/>
        <v>5</v>
      </c>
      <c r="L746" s="4">
        <f t="shared" si="45"/>
        <v>3</v>
      </c>
      <c r="M746" s="4">
        <v>3.688530162298957</v>
      </c>
      <c r="N746" s="4">
        <v>83.027457319585622</v>
      </c>
      <c r="O746" s="4">
        <v>128.71913601284319</v>
      </c>
      <c r="X746" s="22">
        <f t="shared" si="46"/>
        <v>169.38153253891886</v>
      </c>
      <c r="Y746" s="2">
        <f t="shared" si="47"/>
        <v>1653.4304912438106</v>
      </c>
    </row>
    <row r="747" spans="1:25">
      <c r="A747" s="2" t="s">
        <v>9</v>
      </c>
      <c r="B747" s="2" t="s">
        <v>13</v>
      </c>
      <c r="C747" s="2">
        <v>9.4661132060380648</v>
      </c>
      <c r="D747" s="2">
        <v>14.78674865225358</v>
      </c>
      <c r="E747" s="2">
        <v>133.37657598667019</v>
      </c>
      <c r="J747" s="4">
        <v>1</v>
      </c>
      <c r="K747" s="4">
        <f t="shared" si="44"/>
        <v>5</v>
      </c>
      <c r="L747" s="4">
        <f t="shared" si="45"/>
        <v>2</v>
      </c>
      <c r="M747" s="4">
        <v>9.4661132060380648</v>
      </c>
      <c r="N747" s="4">
        <v>14.78674865225358</v>
      </c>
      <c r="O747" s="4">
        <v>133.37657598667019</v>
      </c>
      <c r="X747" s="22">
        <f t="shared" si="46"/>
        <v>139.25524470907513</v>
      </c>
      <c r="Y747" s="2">
        <f t="shared" si="47"/>
        <v>34.558745947782114</v>
      </c>
    </row>
    <row r="748" spans="1:25">
      <c r="A748" s="2" t="s">
        <v>6</v>
      </c>
      <c r="B748" s="2" t="s">
        <v>15</v>
      </c>
      <c r="C748" s="2">
        <v>3.3336708297919642</v>
      </c>
      <c r="D748" s="2">
        <v>169.40949226642201</v>
      </c>
      <c r="E748" s="2">
        <v>261.84020902597013</v>
      </c>
      <c r="J748" s="4">
        <v>1</v>
      </c>
      <c r="K748" s="4">
        <f t="shared" si="44"/>
        <v>3</v>
      </c>
      <c r="L748" s="4">
        <f t="shared" si="45"/>
        <v>4</v>
      </c>
      <c r="M748" s="4">
        <v>3.3336708297919642</v>
      </c>
      <c r="N748" s="4">
        <v>169.40949226642201</v>
      </c>
      <c r="O748" s="4">
        <v>261.84020902597013</v>
      </c>
      <c r="X748" s="22">
        <f t="shared" si="46"/>
        <v>294.65720599187762</v>
      </c>
      <c r="Y748" s="2">
        <f t="shared" si="47"/>
        <v>1076.9552898603815</v>
      </c>
    </row>
    <row r="749" spans="1:25">
      <c r="A749" s="2" t="s">
        <v>11</v>
      </c>
      <c r="B749" s="2" t="s">
        <v>17</v>
      </c>
      <c r="C749" s="2">
        <v>4.8669113146504159</v>
      </c>
      <c r="D749" s="2">
        <v>12.16941685627399</v>
      </c>
      <c r="E749" s="2">
        <v>63.831418010944567</v>
      </c>
      <c r="J749" s="4">
        <v>1</v>
      </c>
      <c r="K749" s="4">
        <f t="shared" si="44"/>
        <v>7</v>
      </c>
      <c r="L749" s="4">
        <f t="shared" si="45"/>
        <v>6</v>
      </c>
      <c r="M749" s="4">
        <v>4.8669113146504159</v>
      </c>
      <c r="N749" s="4">
        <v>12.16941685627399</v>
      </c>
      <c r="O749" s="4">
        <v>63.831418010944567</v>
      </c>
      <c r="X749" s="22">
        <f t="shared" si="46"/>
        <v>76.760244873810038</v>
      </c>
      <c r="Y749" s="2">
        <f t="shared" si="47"/>
        <v>167.1545640499518</v>
      </c>
    </row>
    <row r="750" spans="1:25">
      <c r="A750" s="2" t="s">
        <v>7</v>
      </c>
      <c r="B750" s="2" t="s">
        <v>17</v>
      </c>
      <c r="C750" s="2">
        <v>8.8545722543614165</v>
      </c>
      <c r="D750" s="2">
        <v>143.70295812951969</v>
      </c>
      <c r="E750" s="2">
        <v>227.34088034123491</v>
      </c>
      <c r="J750" s="4">
        <v>1</v>
      </c>
      <c r="K750" s="4">
        <f t="shared" si="44"/>
        <v>2</v>
      </c>
      <c r="L750" s="4">
        <f t="shared" si="45"/>
        <v>6</v>
      </c>
      <c r="M750" s="4">
        <v>8.8545722543614165</v>
      </c>
      <c r="N750" s="4">
        <v>143.70295812951969</v>
      </c>
      <c r="O750" s="4">
        <v>227.34088034123491</v>
      </c>
      <c r="X750" s="22">
        <f t="shared" si="46"/>
        <v>324.86873792469908</v>
      </c>
      <c r="Y750" s="2">
        <f t="shared" si="47"/>
        <v>9511.6830048204702</v>
      </c>
    </row>
    <row r="751" spans="1:25">
      <c r="A751" s="2" t="s">
        <v>10</v>
      </c>
      <c r="B751" s="2" t="s">
        <v>12</v>
      </c>
      <c r="C751" s="2">
        <v>8.5774021011262782</v>
      </c>
      <c r="D751" s="2">
        <v>194.34885084795081</v>
      </c>
      <c r="E751" s="2">
        <v>323.40161191767618</v>
      </c>
      <c r="J751" s="4">
        <v>1</v>
      </c>
      <c r="K751" s="4">
        <f t="shared" si="44"/>
        <v>6</v>
      </c>
      <c r="L751" s="4">
        <f t="shared" si="45"/>
        <v>1</v>
      </c>
      <c r="M751" s="4">
        <v>8.5774021011262782</v>
      </c>
      <c r="N751" s="4">
        <v>194.34885084795081</v>
      </c>
      <c r="O751" s="4">
        <v>323.40161191767618</v>
      </c>
      <c r="X751" s="22">
        <f t="shared" si="46"/>
        <v>394.58992764162247</v>
      </c>
      <c r="Y751" s="2">
        <f t="shared" si="47"/>
        <v>5067.7762956122588</v>
      </c>
    </row>
    <row r="752" spans="1:25">
      <c r="A752" s="2" t="s">
        <v>5</v>
      </c>
      <c r="B752" s="2" t="s">
        <v>16</v>
      </c>
      <c r="C752" s="2">
        <v>2.674912760616496</v>
      </c>
      <c r="D752" s="2">
        <v>93.155652348158654</v>
      </c>
      <c r="E752" s="2">
        <v>206.75347566098711</v>
      </c>
      <c r="J752" s="4">
        <v>1</v>
      </c>
      <c r="K752" s="4">
        <f t="shared" si="44"/>
        <v>1</v>
      </c>
      <c r="L752" s="4">
        <f t="shared" si="45"/>
        <v>5</v>
      </c>
      <c r="M752" s="4">
        <v>2.674912760616496</v>
      </c>
      <c r="N752" s="4">
        <v>93.155652348158654</v>
      </c>
      <c r="O752" s="4">
        <v>206.75347566098711</v>
      </c>
      <c r="X752" s="22">
        <f t="shared" si="46"/>
        <v>174.49872464967342</v>
      </c>
      <c r="Y752" s="2">
        <f t="shared" si="47"/>
        <v>1040.3689628018412</v>
      </c>
    </row>
    <row r="753" spans="1:25">
      <c r="A753" s="2" t="s">
        <v>10</v>
      </c>
      <c r="B753" s="2" t="s">
        <v>12</v>
      </c>
      <c r="C753" s="2">
        <v>8.2237897881613939</v>
      </c>
      <c r="D753" s="2">
        <v>54.644946949231027</v>
      </c>
      <c r="E753" s="2">
        <v>167.45469721331929</v>
      </c>
      <c r="J753" s="4">
        <v>1</v>
      </c>
      <c r="K753" s="4">
        <f t="shared" si="44"/>
        <v>6</v>
      </c>
      <c r="L753" s="4">
        <f t="shared" si="45"/>
        <v>1</v>
      </c>
      <c r="M753" s="4">
        <v>8.2237897881613939</v>
      </c>
      <c r="N753" s="4">
        <v>54.644946949231027</v>
      </c>
      <c r="O753" s="4">
        <v>167.45469721331929</v>
      </c>
      <c r="X753" s="22">
        <f t="shared" si="46"/>
        <v>182.62260727841726</v>
      </c>
      <c r="Y753" s="2">
        <f t="shared" si="47"/>
        <v>230.06549574290031</v>
      </c>
    </row>
    <row r="754" spans="1:25">
      <c r="A754" s="2" t="s">
        <v>7</v>
      </c>
      <c r="B754" s="2" t="s">
        <v>17</v>
      </c>
      <c r="C754" s="2">
        <v>5.1236819806410336</v>
      </c>
      <c r="D754" s="2">
        <v>143.92549190824249</v>
      </c>
      <c r="E754" s="2">
        <v>260.68978593797169</v>
      </c>
      <c r="J754" s="4">
        <v>1</v>
      </c>
      <c r="K754" s="4">
        <f t="shared" si="44"/>
        <v>2</v>
      </c>
      <c r="L754" s="4">
        <f t="shared" si="45"/>
        <v>6</v>
      </c>
      <c r="M754" s="4">
        <v>5.1236819806410336</v>
      </c>
      <c r="N754" s="4">
        <v>143.92549190824249</v>
      </c>
      <c r="O754" s="4">
        <v>260.68978593797169</v>
      </c>
      <c r="X754" s="22">
        <f t="shared" si="46"/>
        <v>279.2563938422133</v>
      </c>
      <c r="Y754" s="2">
        <f t="shared" si="47"/>
        <v>344.71892906984692</v>
      </c>
    </row>
    <row r="755" spans="1:25">
      <c r="A755" s="2" t="s">
        <v>9</v>
      </c>
      <c r="B755" s="2" t="s">
        <v>15</v>
      </c>
      <c r="C755" s="2">
        <v>5.3467198487681973</v>
      </c>
      <c r="D755" s="2">
        <v>165.25434698296121</v>
      </c>
      <c r="E755" s="2">
        <v>326.81279473896569</v>
      </c>
      <c r="J755" s="4">
        <v>1</v>
      </c>
      <c r="K755" s="4">
        <f t="shared" si="44"/>
        <v>5</v>
      </c>
      <c r="L755" s="4">
        <f t="shared" si="45"/>
        <v>4</v>
      </c>
      <c r="M755" s="4">
        <v>5.3467198487681973</v>
      </c>
      <c r="N755" s="4">
        <v>165.25434698296121</v>
      </c>
      <c r="O755" s="4">
        <v>326.81279473896569</v>
      </c>
      <c r="X755" s="22">
        <f t="shared" si="46"/>
        <v>311.85840548394253</v>
      </c>
      <c r="Y755" s="2">
        <f t="shared" si="47"/>
        <v>223.63375799075212</v>
      </c>
    </row>
    <row r="756" spans="1:25">
      <c r="A756" s="2" t="s">
        <v>11</v>
      </c>
      <c r="B756" s="2" t="s">
        <v>14</v>
      </c>
      <c r="C756" s="2">
        <v>2.2013197517434939</v>
      </c>
      <c r="D756" s="2">
        <v>113.821760054791</v>
      </c>
      <c r="E756" s="2">
        <v>227.68343682313761</v>
      </c>
      <c r="J756" s="4">
        <v>1</v>
      </c>
      <c r="K756" s="4">
        <f t="shared" si="44"/>
        <v>7</v>
      </c>
      <c r="L756" s="4">
        <f t="shared" si="45"/>
        <v>3</v>
      </c>
      <c r="M756" s="4">
        <v>2.2013197517434939</v>
      </c>
      <c r="N756" s="4">
        <v>113.821760054791</v>
      </c>
      <c r="O756" s="4">
        <v>227.68343682313761</v>
      </c>
      <c r="X756" s="22">
        <f t="shared" si="46"/>
        <v>195.41781974309177</v>
      </c>
      <c r="Y756" s="2">
        <f t="shared" si="47"/>
        <v>1041.0700455561459</v>
      </c>
    </row>
    <row r="757" spans="1:25">
      <c r="A757" s="2" t="s">
        <v>9</v>
      </c>
      <c r="B757" s="2" t="s">
        <v>14</v>
      </c>
      <c r="C757" s="2">
        <v>1.725413623814122</v>
      </c>
      <c r="D757" s="2">
        <v>193.73670229866781</v>
      </c>
      <c r="E757" s="2">
        <v>354.94116351077349</v>
      </c>
      <c r="J757" s="4">
        <v>1</v>
      </c>
      <c r="K757" s="4">
        <f t="shared" si="44"/>
        <v>5</v>
      </c>
      <c r="L757" s="4">
        <f t="shared" si="45"/>
        <v>3</v>
      </c>
      <c r="M757" s="4">
        <v>1.725413623814122</v>
      </c>
      <c r="N757" s="4">
        <v>193.73670229866781</v>
      </c>
      <c r="O757" s="4">
        <v>354.94116351077349</v>
      </c>
      <c r="X757" s="22">
        <f t="shared" si="46"/>
        <v>309.73138437716062</v>
      </c>
      <c r="Y757" s="2">
        <f t="shared" si="47"/>
        <v>2043.9241293100577</v>
      </c>
    </row>
    <row r="758" spans="1:25">
      <c r="A758" s="2" t="s">
        <v>8</v>
      </c>
      <c r="B758" s="2" t="s">
        <v>15</v>
      </c>
      <c r="C758" s="2">
        <v>7.5514537627638862</v>
      </c>
      <c r="D758" s="2">
        <v>19.817057115012609</v>
      </c>
      <c r="E758" s="2">
        <v>149.05607118547459</v>
      </c>
      <c r="J758" s="4">
        <v>1</v>
      </c>
      <c r="K758" s="4">
        <f t="shared" si="44"/>
        <v>4</v>
      </c>
      <c r="L758" s="4">
        <f t="shared" si="45"/>
        <v>4</v>
      </c>
      <c r="M758" s="4">
        <v>7.5514537627638862</v>
      </c>
      <c r="N758" s="4">
        <v>19.817057115012609</v>
      </c>
      <c r="O758" s="4">
        <v>149.05607118547459</v>
      </c>
      <c r="X758" s="22">
        <f t="shared" si="46"/>
        <v>123.58132874181899</v>
      </c>
      <c r="Y758" s="2">
        <f t="shared" si="47"/>
        <v>648.96250257058807</v>
      </c>
    </row>
    <row r="759" spans="1:25">
      <c r="A759" s="2" t="s">
        <v>9</v>
      </c>
      <c r="B759" s="2" t="s">
        <v>17</v>
      </c>
      <c r="C759" s="2">
        <v>5.468150371197698</v>
      </c>
      <c r="D759" s="2">
        <v>105.9111636778603</v>
      </c>
      <c r="E759" s="2">
        <v>227.5989571991762</v>
      </c>
      <c r="J759" s="4">
        <v>1</v>
      </c>
      <c r="K759" s="4">
        <f t="shared" si="44"/>
        <v>5</v>
      </c>
      <c r="L759" s="4">
        <f t="shared" si="45"/>
        <v>6</v>
      </c>
      <c r="M759" s="4">
        <v>5.468150371197698</v>
      </c>
      <c r="N759" s="4">
        <v>105.9111636778603</v>
      </c>
      <c r="O759" s="4">
        <v>227.5989571991762</v>
      </c>
      <c r="X759" s="22">
        <f t="shared" si="46"/>
        <v>224.8859294874529</v>
      </c>
      <c r="Y759" s="2">
        <f t="shared" si="47"/>
        <v>7.3605193645785612</v>
      </c>
    </row>
    <row r="760" spans="1:25">
      <c r="A760" s="2" t="s">
        <v>9</v>
      </c>
      <c r="B760" s="2" t="s">
        <v>14</v>
      </c>
      <c r="C760" s="2">
        <v>4.9316563235366164</v>
      </c>
      <c r="D760" s="2">
        <v>146.50624999128451</v>
      </c>
      <c r="E760" s="2">
        <v>277.96051285375842</v>
      </c>
      <c r="J760" s="4">
        <v>1</v>
      </c>
      <c r="K760" s="4">
        <f t="shared" si="44"/>
        <v>5</v>
      </c>
      <c r="L760" s="4">
        <f t="shared" si="45"/>
        <v>3</v>
      </c>
      <c r="M760" s="4">
        <v>4.9316563235366164</v>
      </c>
      <c r="N760" s="4">
        <v>146.50624999128451</v>
      </c>
      <c r="O760" s="4">
        <v>277.96051285375842</v>
      </c>
      <c r="X760" s="22">
        <f t="shared" si="46"/>
        <v>279.02500391458767</v>
      </c>
      <c r="Y760" s="2">
        <f t="shared" si="47"/>
        <v>1.1331412185853922</v>
      </c>
    </row>
    <row r="761" spans="1:25">
      <c r="A761" s="2" t="s">
        <v>7</v>
      </c>
      <c r="B761" s="2" t="s">
        <v>14</v>
      </c>
      <c r="C761" s="2">
        <v>7.5655740578715696</v>
      </c>
      <c r="D761" s="2">
        <v>173.901689518344</v>
      </c>
      <c r="E761" s="2">
        <v>420.46481783421058</v>
      </c>
      <c r="J761" s="4">
        <v>1</v>
      </c>
      <c r="K761" s="4">
        <f t="shared" si="44"/>
        <v>2</v>
      </c>
      <c r="L761" s="4">
        <f t="shared" si="45"/>
        <v>3</v>
      </c>
      <c r="M761" s="4">
        <v>7.5655740578715696</v>
      </c>
      <c r="N761" s="4">
        <v>173.901689518344</v>
      </c>
      <c r="O761" s="4">
        <v>420.46481783421058</v>
      </c>
      <c r="X761" s="22">
        <f t="shared" si="46"/>
        <v>354.29136136049294</v>
      </c>
      <c r="Y761" s="2">
        <f t="shared" si="47"/>
        <v>4378.9263416790027</v>
      </c>
    </row>
    <row r="762" spans="1:25">
      <c r="A762" s="2" t="s">
        <v>7</v>
      </c>
      <c r="B762" s="2" t="s">
        <v>14</v>
      </c>
      <c r="C762" s="2">
        <v>7.8896160909199882</v>
      </c>
      <c r="D762" s="2">
        <v>44.058566262480113</v>
      </c>
      <c r="E762" s="2">
        <v>214.96021966700931</v>
      </c>
      <c r="J762" s="4">
        <v>1</v>
      </c>
      <c r="K762" s="4">
        <f t="shared" si="44"/>
        <v>2</v>
      </c>
      <c r="L762" s="4">
        <f t="shared" si="45"/>
        <v>3</v>
      </c>
      <c r="M762" s="4">
        <v>7.8896160909199882</v>
      </c>
      <c r="N762" s="4">
        <v>44.058566262480113</v>
      </c>
      <c r="O762" s="4">
        <v>214.96021966700931</v>
      </c>
      <c r="X762" s="22">
        <f t="shared" si="46"/>
        <v>165.32286146035295</v>
      </c>
      <c r="Y762" s="2">
        <f t="shared" si="47"/>
        <v>2463.8673297359155</v>
      </c>
    </row>
    <row r="763" spans="1:25">
      <c r="A763" s="2" t="s">
        <v>7</v>
      </c>
      <c r="B763" s="2" t="s">
        <v>16</v>
      </c>
      <c r="C763" s="2">
        <v>2.4301735090241818</v>
      </c>
      <c r="D763" s="2">
        <v>162.00066153509951</v>
      </c>
      <c r="E763" s="2">
        <v>249.99121094434989</v>
      </c>
      <c r="J763" s="4">
        <v>1</v>
      </c>
      <c r="K763" s="4">
        <f t="shared" si="44"/>
        <v>2</v>
      </c>
      <c r="L763" s="4">
        <f t="shared" si="45"/>
        <v>5</v>
      </c>
      <c r="M763" s="4">
        <v>2.4301735090241818</v>
      </c>
      <c r="N763" s="4">
        <v>162.00066153509951</v>
      </c>
      <c r="O763" s="4">
        <v>249.99121094434989</v>
      </c>
      <c r="X763" s="22">
        <f t="shared" si="46"/>
        <v>273.08845429636631</v>
      </c>
      <c r="Y763" s="2">
        <f t="shared" si="47"/>
        <v>533.48265046226675</v>
      </c>
    </row>
    <row r="764" spans="1:25">
      <c r="A764" s="2" t="s">
        <v>10</v>
      </c>
      <c r="B764" s="2" t="s">
        <v>16</v>
      </c>
      <c r="C764" s="2">
        <v>6.4920263452987719</v>
      </c>
      <c r="D764" s="2">
        <v>115.0143443865236</v>
      </c>
      <c r="E764" s="2">
        <v>251.44613846824049</v>
      </c>
      <c r="J764" s="4">
        <v>1</v>
      </c>
      <c r="K764" s="4">
        <f t="shared" si="44"/>
        <v>6</v>
      </c>
      <c r="L764" s="4">
        <f t="shared" si="45"/>
        <v>5</v>
      </c>
      <c r="M764" s="4">
        <v>6.4920263452987719</v>
      </c>
      <c r="N764" s="4">
        <v>115.0143443865236</v>
      </c>
      <c r="O764" s="4">
        <v>251.44613846824049</v>
      </c>
      <c r="X764" s="22">
        <f t="shared" si="46"/>
        <v>250.4550118652231</v>
      </c>
      <c r="Y764" s="2">
        <f t="shared" si="47"/>
        <v>0.98233194320879491</v>
      </c>
    </row>
    <row r="765" spans="1:25">
      <c r="A765" s="2" t="s">
        <v>8</v>
      </c>
      <c r="B765" s="2" t="s">
        <v>13</v>
      </c>
      <c r="C765" s="2">
        <v>2.2181867404991702</v>
      </c>
      <c r="D765" s="2">
        <v>85.345199578093016</v>
      </c>
      <c r="E765" s="2">
        <v>145.20383312333891</v>
      </c>
      <c r="J765" s="4">
        <v>1</v>
      </c>
      <c r="K765" s="4">
        <f t="shared" si="44"/>
        <v>4</v>
      </c>
      <c r="L765" s="4">
        <f t="shared" si="45"/>
        <v>2</v>
      </c>
      <c r="M765" s="4">
        <v>2.2181867404991702</v>
      </c>
      <c r="N765" s="4">
        <v>85.345199578093016</v>
      </c>
      <c r="O765" s="4">
        <v>145.20383312333891</v>
      </c>
      <c r="X765" s="22">
        <f t="shared" si="46"/>
        <v>155.565457460743</v>
      </c>
      <c r="Y765" s="2">
        <f t="shared" si="47"/>
        <v>107.36325890948484</v>
      </c>
    </row>
    <row r="766" spans="1:25">
      <c r="A766" s="2" t="s">
        <v>7</v>
      </c>
      <c r="B766" s="2" t="s">
        <v>12</v>
      </c>
      <c r="C766" s="2">
        <v>7.762375774261411</v>
      </c>
      <c r="D766" s="2">
        <v>35.025855430027782</v>
      </c>
      <c r="E766" s="2">
        <v>97.423262538395733</v>
      </c>
      <c r="J766" s="4">
        <v>1</v>
      </c>
      <c r="K766" s="4">
        <f t="shared" si="44"/>
        <v>2</v>
      </c>
      <c r="L766" s="4">
        <f t="shared" si="45"/>
        <v>1</v>
      </c>
      <c r="M766" s="4">
        <v>7.762375774261411</v>
      </c>
      <c r="N766" s="4">
        <v>35.025855430027782</v>
      </c>
      <c r="O766" s="4">
        <v>97.423262538395733</v>
      </c>
      <c r="X766" s="22">
        <f t="shared" si="46"/>
        <v>150.61092394252728</v>
      </c>
      <c r="Y766" s="2">
        <f t="shared" si="47"/>
        <v>2828.9273256405445</v>
      </c>
    </row>
    <row r="767" spans="1:25">
      <c r="A767" s="2" t="s">
        <v>11</v>
      </c>
      <c r="B767" s="2" t="s">
        <v>15</v>
      </c>
      <c r="C767" s="2">
        <v>6.9125964064042558</v>
      </c>
      <c r="D767" s="2">
        <v>174.40619419269339</v>
      </c>
      <c r="E767" s="2">
        <v>376.23121298014507</v>
      </c>
      <c r="J767" s="4">
        <v>1</v>
      </c>
      <c r="K767" s="4">
        <f t="shared" si="44"/>
        <v>7</v>
      </c>
      <c r="L767" s="4">
        <f t="shared" si="45"/>
        <v>4</v>
      </c>
      <c r="M767" s="4">
        <v>6.9125964064042558</v>
      </c>
      <c r="N767" s="4">
        <v>174.40619419269339</v>
      </c>
      <c r="O767" s="4">
        <v>376.23121298014507</v>
      </c>
      <c r="X767" s="22">
        <f t="shared" si="46"/>
        <v>343.3284346802302</v>
      </c>
      <c r="Y767" s="2">
        <f t="shared" si="47"/>
        <v>1082.5928198533491</v>
      </c>
    </row>
    <row r="768" spans="1:25">
      <c r="A768" s="2" t="s">
        <v>10</v>
      </c>
      <c r="B768" s="2" t="s">
        <v>15</v>
      </c>
      <c r="C768" s="2">
        <v>9.6095315897511213</v>
      </c>
      <c r="D768" s="2">
        <v>39.881909554145921</v>
      </c>
      <c r="E768" s="2">
        <v>123.6592330469159</v>
      </c>
      <c r="J768" s="4">
        <v>1</v>
      </c>
      <c r="K768" s="4">
        <f t="shared" si="44"/>
        <v>6</v>
      </c>
      <c r="L768" s="4">
        <f t="shared" si="45"/>
        <v>4</v>
      </c>
      <c r="M768" s="4">
        <v>9.6095315897511213</v>
      </c>
      <c r="N768" s="4">
        <v>39.881909554145921</v>
      </c>
      <c r="O768" s="4">
        <v>123.6592330469159</v>
      </c>
      <c r="X768" s="22">
        <f t="shared" si="46"/>
        <v>177.33016867958264</v>
      </c>
      <c r="Y768" s="2">
        <f t="shared" si="47"/>
        <v>2880.5693316858565</v>
      </c>
    </row>
    <row r="769" spans="1:25">
      <c r="A769" s="2" t="s">
        <v>6</v>
      </c>
      <c r="B769" s="2" t="s">
        <v>15</v>
      </c>
      <c r="C769" s="2">
        <v>1.6206221472077911</v>
      </c>
      <c r="D769" s="2">
        <v>68.859693249728849</v>
      </c>
      <c r="E769" s="2">
        <v>104.87616513632121</v>
      </c>
      <c r="J769" s="4">
        <v>1</v>
      </c>
      <c r="K769" s="4">
        <f t="shared" si="44"/>
        <v>3</v>
      </c>
      <c r="L769" s="4">
        <f t="shared" si="45"/>
        <v>4</v>
      </c>
      <c r="M769" s="4">
        <v>1.6206221472077911</v>
      </c>
      <c r="N769" s="4">
        <v>68.859693249728849</v>
      </c>
      <c r="O769" s="4">
        <v>104.87616513632121</v>
      </c>
      <c r="X769" s="22">
        <f t="shared" si="46"/>
        <v>124.13607294451542</v>
      </c>
      <c r="Y769" s="2">
        <f t="shared" si="47"/>
        <v>370.94404878014046</v>
      </c>
    </row>
    <row r="770" spans="1:25">
      <c r="A770" s="2" t="s">
        <v>11</v>
      </c>
      <c r="B770" s="2" t="s">
        <v>13</v>
      </c>
      <c r="C770" s="2">
        <v>1.513492490361289</v>
      </c>
      <c r="D770" s="2">
        <v>65.108651072863012</v>
      </c>
      <c r="E770" s="2">
        <v>108.0472039125265</v>
      </c>
      <c r="J770" s="4">
        <v>1</v>
      </c>
      <c r="K770" s="4">
        <f t="shared" si="44"/>
        <v>7</v>
      </c>
      <c r="L770" s="4">
        <f t="shared" si="45"/>
        <v>2</v>
      </c>
      <c r="M770" s="4">
        <v>1.513492490361289</v>
      </c>
      <c r="N770" s="4">
        <v>65.108651072863012</v>
      </c>
      <c r="O770" s="4">
        <v>108.0472039125265</v>
      </c>
      <c r="X770" s="22">
        <f t="shared" si="46"/>
        <v>114.69477707115442</v>
      </c>
      <c r="Y770" s="2">
        <f t="shared" si="47"/>
        <v>44.190228899310391</v>
      </c>
    </row>
    <row r="771" spans="1:25">
      <c r="A771" s="2" t="s">
        <v>5</v>
      </c>
      <c r="B771" s="2" t="s">
        <v>16</v>
      </c>
      <c r="C771" s="2">
        <v>3.5396836722388012</v>
      </c>
      <c r="D771" s="2">
        <v>175.5686664962623</v>
      </c>
      <c r="E771" s="2">
        <v>277.04285665007012</v>
      </c>
      <c r="J771" s="4">
        <v>1</v>
      </c>
      <c r="K771" s="4">
        <f t="shared" si="44"/>
        <v>1</v>
      </c>
      <c r="L771" s="4">
        <f t="shared" si="45"/>
        <v>5</v>
      </c>
      <c r="M771" s="4">
        <v>3.5396836722388012</v>
      </c>
      <c r="N771" s="4">
        <v>175.5686664962623</v>
      </c>
      <c r="O771" s="4">
        <v>277.04285665007012</v>
      </c>
      <c r="X771" s="22">
        <f t="shared" si="46"/>
        <v>307.621036928992</v>
      </c>
      <c r="Y771" s="2">
        <f t="shared" si="47"/>
        <v>935.02510917024676</v>
      </c>
    </row>
    <row r="772" spans="1:25">
      <c r="A772" s="2" t="s">
        <v>5</v>
      </c>
      <c r="B772" s="2" t="s">
        <v>17</v>
      </c>
      <c r="C772" s="2">
        <v>3.3553511536231539</v>
      </c>
      <c r="D772" s="2">
        <v>137.81356889969061</v>
      </c>
      <c r="E772" s="2">
        <v>242.6879574959901</v>
      </c>
      <c r="J772" s="4">
        <v>1</v>
      </c>
      <c r="K772" s="4">
        <f t="shared" ref="K772:K835" si="48">VLOOKUP(A772, $F$3:$G$9, 2, FALSE)</f>
        <v>1</v>
      </c>
      <c r="L772" s="4">
        <f t="shared" ref="L772:L835" si="49">VLOOKUP(B772, $H$3:$I$8, 2, FALSE)</f>
        <v>6</v>
      </c>
      <c r="M772" s="4">
        <v>3.3553511536231539</v>
      </c>
      <c r="N772" s="4">
        <v>137.81356889969061</v>
      </c>
      <c r="O772" s="4">
        <v>242.6879574959901</v>
      </c>
      <c r="X772" s="22">
        <f t="shared" ref="X772:X835" si="50">$U$16+$U$17*K772+$U$18*L772+$U$19*M772+$U$20*N772</f>
        <v>249.1043899857585</v>
      </c>
      <c r="Y772" s="2">
        <f t="shared" ref="Y772:Y835" si="51">POWER(O772-X772,2)</f>
        <v>41.170605895755472</v>
      </c>
    </row>
    <row r="773" spans="1:25">
      <c r="A773" s="2" t="s">
        <v>11</v>
      </c>
      <c r="B773" s="2" t="s">
        <v>17</v>
      </c>
      <c r="C773" s="2">
        <v>3.2228091916479991</v>
      </c>
      <c r="D773" s="2">
        <v>161.36946546636071</v>
      </c>
      <c r="E773" s="2">
        <v>308.08606358056937</v>
      </c>
      <c r="J773" s="4">
        <v>1</v>
      </c>
      <c r="K773" s="4">
        <f t="shared" si="48"/>
        <v>7</v>
      </c>
      <c r="L773" s="4">
        <f t="shared" si="49"/>
        <v>6</v>
      </c>
      <c r="M773" s="4">
        <v>3.2228091916479991</v>
      </c>
      <c r="N773" s="4">
        <v>161.36946546636071</v>
      </c>
      <c r="O773" s="4">
        <v>308.08606358056937</v>
      </c>
      <c r="X773" s="22">
        <f t="shared" si="50"/>
        <v>278.23939031350227</v>
      </c>
      <c r="Y773" s="2">
        <f t="shared" si="51"/>
        <v>890.82390511105814</v>
      </c>
    </row>
    <row r="774" spans="1:25">
      <c r="A774" s="2" t="s">
        <v>7</v>
      </c>
      <c r="B774" s="2" t="s">
        <v>13</v>
      </c>
      <c r="C774" s="2">
        <v>9.1562912246893298</v>
      </c>
      <c r="D774" s="2">
        <v>57.588900770574803</v>
      </c>
      <c r="E774" s="2">
        <v>248.8541792417779</v>
      </c>
      <c r="J774" s="4">
        <v>1</v>
      </c>
      <c r="K774" s="4">
        <f t="shared" si="48"/>
        <v>2</v>
      </c>
      <c r="L774" s="4">
        <f t="shared" si="49"/>
        <v>2</v>
      </c>
      <c r="M774" s="4">
        <v>9.1562912246893298</v>
      </c>
      <c r="N774" s="4">
        <v>57.588900770574803</v>
      </c>
      <c r="O774" s="4">
        <v>248.8541792417779</v>
      </c>
      <c r="X774" s="22">
        <f t="shared" si="50"/>
        <v>201.16749985081822</v>
      </c>
      <c r="Y774" s="2">
        <f t="shared" si="51"/>
        <v>2274.0193913361791</v>
      </c>
    </row>
    <row r="775" spans="1:25">
      <c r="A775" s="2" t="s">
        <v>6</v>
      </c>
      <c r="B775" s="2" t="s">
        <v>17</v>
      </c>
      <c r="C775" s="2">
        <v>3.2459157986455551</v>
      </c>
      <c r="D775" s="2">
        <v>128.7260789253298</v>
      </c>
      <c r="E775" s="2">
        <v>211.2311379923849</v>
      </c>
      <c r="J775" s="4">
        <v>1</v>
      </c>
      <c r="K775" s="4">
        <f t="shared" si="48"/>
        <v>3</v>
      </c>
      <c r="L775" s="4">
        <f t="shared" si="49"/>
        <v>6</v>
      </c>
      <c r="M775" s="4">
        <v>3.2459157986455551</v>
      </c>
      <c r="N775" s="4">
        <v>128.7260789253298</v>
      </c>
      <c r="O775" s="4">
        <v>211.2311379923849</v>
      </c>
      <c r="X775" s="22">
        <f t="shared" si="50"/>
        <v>232.83890564365061</v>
      </c>
      <c r="Y775" s="2">
        <f t="shared" si="51"/>
        <v>466.89562287108458</v>
      </c>
    </row>
    <row r="776" spans="1:25">
      <c r="A776" s="2" t="s">
        <v>6</v>
      </c>
      <c r="B776" s="2" t="s">
        <v>15</v>
      </c>
      <c r="C776" s="2">
        <v>3.4475475351576792</v>
      </c>
      <c r="D776" s="2">
        <v>118.6317367973123</v>
      </c>
      <c r="E776" s="2">
        <v>208.5767080900599</v>
      </c>
      <c r="J776" s="4">
        <v>1</v>
      </c>
      <c r="K776" s="4">
        <f t="shared" si="48"/>
        <v>3</v>
      </c>
      <c r="L776" s="4">
        <f t="shared" si="49"/>
        <v>4</v>
      </c>
      <c r="M776" s="4">
        <v>3.4475475351576792</v>
      </c>
      <c r="N776" s="4">
        <v>118.6317367973123</v>
      </c>
      <c r="O776" s="4">
        <v>208.5767080900599</v>
      </c>
      <c r="X776" s="22">
        <f t="shared" si="50"/>
        <v>220.59909321434401</v>
      </c>
      <c r="Y776" s="2">
        <f t="shared" si="51"/>
        <v>144.53774407660794</v>
      </c>
    </row>
    <row r="777" spans="1:25">
      <c r="A777" s="2" t="s">
        <v>10</v>
      </c>
      <c r="B777" s="2" t="s">
        <v>12</v>
      </c>
      <c r="C777" s="2">
        <v>7.8345843617616726</v>
      </c>
      <c r="D777" s="2">
        <v>168.23777158977151</v>
      </c>
      <c r="E777" s="2">
        <v>274.16593827090742</v>
      </c>
      <c r="J777" s="4">
        <v>1</v>
      </c>
      <c r="K777" s="4">
        <f t="shared" si="48"/>
        <v>6</v>
      </c>
      <c r="L777" s="4">
        <f t="shared" si="49"/>
        <v>1</v>
      </c>
      <c r="M777" s="4">
        <v>7.8345843617616726</v>
      </c>
      <c r="N777" s="4">
        <v>168.23777158977151</v>
      </c>
      <c r="O777" s="4">
        <v>274.16593827090742</v>
      </c>
      <c r="X777" s="22">
        <f t="shared" si="50"/>
        <v>346.63923098291127</v>
      </c>
      <c r="Y777" s="2">
        <f t="shared" si="51"/>
        <v>5252.3781565197905</v>
      </c>
    </row>
    <row r="778" spans="1:25">
      <c r="A778" s="2" t="s">
        <v>6</v>
      </c>
      <c r="B778" s="2" t="s">
        <v>14</v>
      </c>
      <c r="C778" s="2">
        <v>5.0476585820548596</v>
      </c>
      <c r="D778" s="2">
        <v>182.1565414914395</v>
      </c>
      <c r="E778" s="2">
        <v>345.88344886952899</v>
      </c>
      <c r="J778" s="4">
        <v>1</v>
      </c>
      <c r="K778" s="4">
        <f t="shared" si="48"/>
        <v>3</v>
      </c>
      <c r="L778" s="4">
        <f t="shared" si="49"/>
        <v>3</v>
      </c>
      <c r="M778" s="4">
        <v>5.0476585820548596</v>
      </c>
      <c r="N778" s="4">
        <v>182.1565414914395</v>
      </c>
      <c r="O778" s="4">
        <v>345.88344886952899</v>
      </c>
      <c r="X778" s="22">
        <f t="shared" si="50"/>
        <v>334.84612190036103</v>
      </c>
      <c r="Y778" s="2">
        <f t="shared" si="51"/>
        <v>121.82258662432247</v>
      </c>
    </row>
    <row r="779" spans="1:25">
      <c r="A779" s="2" t="s">
        <v>5</v>
      </c>
      <c r="B779" s="2" t="s">
        <v>16</v>
      </c>
      <c r="C779" s="2">
        <v>7.9903950125966308</v>
      </c>
      <c r="D779" s="2">
        <v>12.30978658070349</v>
      </c>
      <c r="E779" s="2">
        <v>145.5579822989815</v>
      </c>
      <c r="J779" s="4">
        <v>1</v>
      </c>
      <c r="K779" s="4">
        <f t="shared" si="48"/>
        <v>1</v>
      </c>
      <c r="L779" s="4">
        <f t="shared" si="49"/>
        <v>5</v>
      </c>
      <c r="M779" s="4">
        <v>7.9903950125966308</v>
      </c>
      <c r="N779" s="4">
        <v>12.30978658070349</v>
      </c>
      <c r="O779" s="4">
        <v>145.5579822989815</v>
      </c>
      <c r="X779" s="22">
        <f t="shared" si="50"/>
        <v>119.81041259008821</v>
      </c>
      <c r="Y779" s="2">
        <f t="shared" si="51"/>
        <v>662.93734591431951</v>
      </c>
    </row>
    <row r="780" spans="1:25">
      <c r="A780" s="2" t="s">
        <v>8</v>
      </c>
      <c r="B780" s="2" t="s">
        <v>16</v>
      </c>
      <c r="C780" s="2">
        <v>1.5882954180794671</v>
      </c>
      <c r="D780" s="2">
        <v>138.06378462117061</v>
      </c>
      <c r="E780" s="2">
        <v>219.74916516872051</v>
      </c>
      <c r="J780" s="4">
        <v>1</v>
      </c>
      <c r="K780" s="4">
        <f t="shared" si="48"/>
        <v>4</v>
      </c>
      <c r="L780" s="4">
        <f t="shared" si="49"/>
        <v>5</v>
      </c>
      <c r="M780" s="4">
        <v>1.5882954180794671</v>
      </c>
      <c r="N780" s="4">
        <v>138.06378462117061</v>
      </c>
      <c r="O780" s="4">
        <v>219.74916516872051</v>
      </c>
      <c r="X780" s="22">
        <f t="shared" si="50"/>
        <v>225.73594453842716</v>
      </c>
      <c r="Y780" s="2">
        <f t="shared" si="51"/>
        <v>35.841527221545192</v>
      </c>
    </row>
    <row r="781" spans="1:25">
      <c r="A781" s="2" t="s">
        <v>7</v>
      </c>
      <c r="B781" s="2" t="s">
        <v>13</v>
      </c>
      <c r="C781" s="2">
        <v>5.3881407430604584</v>
      </c>
      <c r="D781" s="2">
        <v>19.84880183274851</v>
      </c>
      <c r="E781" s="2">
        <v>90.025332741688743</v>
      </c>
      <c r="J781" s="4">
        <v>1</v>
      </c>
      <c r="K781" s="4">
        <f t="shared" si="48"/>
        <v>2</v>
      </c>
      <c r="L781" s="4">
        <f t="shared" si="49"/>
        <v>2</v>
      </c>
      <c r="M781" s="4">
        <v>5.3881407430604584</v>
      </c>
      <c r="N781" s="4">
        <v>19.84880183274851</v>
      </c>
      <c r="O781" s="4">
        <v>90.025332741688743</v>
      </c>
      <c r="X781" s="22">
        <f t="shared" si="50"/>
        <v>98.68035952742224</v>
      </c>
      <c r="Y781" s="2">
        <f t="shared" si="51"/>
        <v>74.909488661764314</v>
      </c>
    </row>
    <row r="782" spans="1:25">
      <c r="A782" s="2" t="s">
        <v>6</v>
      </c>
      <c r="B782" s="2" t="s">
        <v>16</v>
      </c>
      <c r="C782" s="2">
        <v>1.302522401649544</v>
      </c>
      <c r="D782" s="2">
        <v>114.2831463646976</v>
      </c>
      <c r="E782" s="2">
        <v>144.81392223993009</v>
      </c>
      <c r="J782" s="4">
        <v>1</v>
      </c>
      <c r="K782" s="4">
        <f t="shared" si="48"/>
        <v>3</v>
      </c>
      <c r="L782" s="4">
        <f t="shared" si="49"/>
        <v>5</v>
      </c>
      <c r="M782" s="4">
        <v>1.302522401649544</v>
      </c>
      <c r="N782" s="4">
        <v>114.2831463646976</v>
      </c>
      <c r="O782" s="4">
        <v>144.81392223993009</v>
      </c>
      <c r="X782" s="22">
        <f t="shared" si="50"/>
        <v>187.58316539303473</v>
      </c>
      <c r="Y782" s="2">
        <f t="shared" si="51"/>
        <v>1829.2081598893881</v>
      </c>
    </row>
    <row r="783" spans="1:25">
      <c r="A783" s="2" t="s">
        <v>10</v>
      </c>
      <c r="B783" s="2" t="s">
        <v>15</v>
      </c>
      <c r="C783" s="2">
        <v>1.563878831098191</v>
      </c>
      <c r="D783" s="2">
        <v>64.650218518298857</v>
      </c>
      <c r="E783" s="2">
        <v>108.1626160183894</v>
      </c>
      <c r="J783" s="4">
        <v>1</v>
      </c>
      <c r="K783" s="4">
        <f t="shared" si="48"/>
        <v>6</v>
      </c>
      <c r="L783" s="4">
        <f t="shared" si="49"/>
        <v>4</v>
      </c>
      <c r="M783" s="4">
        <v>1.563878831098191</v>
      </c>
      <c r="N783" s="4">
        <v>64.650218518298857</v>
      </c>
      <c r="O783" s="4">
        <v>108.1626160183894</v>
      </c>
      <c r="X783" s="22">
        <f t="shared" si="50"/>
        <v>115.06211729043847</v>
      </c>
      <c r="Y783" s="2">
        <f t="shared" si="51"/>
        <v>47.603117803006668</v>
      </c>
    </row>
    <row r="784" spans="1:25">
      <c r="A784" s="2" t="s">
        <v>5</v>
      </c>
      <c r="B784" s="2" t="s">
        <v>17</v>
      </c>
      <c r="C784" s="2">
        <v>9.157937080099698</v>
      </c>
      <c r="D784" s="2">
        <v>68.287553909206821</v>
      </c>
      <c r="E784" s="2">
        <v>235.87326138547519</v>
      </c>
      <c r="J784" s="4">
        <v>1</v>
      </c>
      <c r="K784" s="4">
        <f t="shared" si="48"/>
        <v>1</v>
      </c>
      <c r="L784" s="4">
        <f t="shared" si="49"/>
        <v>6</v>
      </c>
      <c r="M784" s="4">
        <v>9.157937080099698</v>
      </c>
      <c r="N784" s="4">
        <v>68.287553909206821</v>
      </c>
      <c r="O784" s="4">
        <v>235.87326138547519</v>
      </c>
      <c r="X784" s="22">
        <f t="shared" si="50"/>
        <v>217.23672562006203</v>
      </c>
      <c r="Y784" s="2">
        <f t="shared" si="51"/>
        <v>347.32046533552375</v>
      </c>
    </row>
    <row r="785" spans="1:25">
      <c r="A785" s="2" t="s">
        <v>8</v>
      </c>
      <c r="B785" s="2" t="s">
        <v>15</v>
      </c>
      <c r="C785" s="2">
        <v>2.253208340058356</v>
      </c>
      <c r="D785" s="2">
        <v>77.06211565594775</v>
      </c>
      <c r="E785" s="2">
        <v>126.03802391041999</v>
      </c>
      <c r="J785" s="4">
        <v>1</v>
      </c>
      <c r="K785" s="4">
        <f t="shared" si="48"/>
        <v>4</v>
      </c>
      <c r="L785" s="4">
        <f t="shared" si="49"/>
        <v>4</v>
      </c>
      <c r="M785" s="4">
        <v>2.253208340058356</v>
      </c>
      <c r="N785" s="4">
        <v>77.06211565594775</v>
      </c>
      <c r="O785" s="4">
        <v>126.03802391041999</v>
      </c>
      <c r="X785" s="22">
        <f t="shared" si="50"/>
        <v>143.40892793405862</v>
      </c>
      <c r="Y785" s="2">
        <f t="shared" si="51"/>
        <v>301.74830659846475</v>
      </c>
    </row>
    <row r="786" spans="1:25">
      <c r="A786" s="2" t="s">
        <v>9</v>
      </c>
      <c r="B786" s="2" t="s">
        <v>13</v>
      </c>
      <c r="C786" s="2">
        <v>5.7917861404769537</v>
      </c>
      <c r="D786" s="2">
        <v>128.04556531942589</v>
      </c>
      <c r="E786" s="2">
        <v>246.2237258446678</v>
      </c>
      <c r="J786" s="4">
        <v>1</v>
      </c>
      <c r="K786" s="4">
        <f t="shared" si="48"/>
        <v>5</v>
      </c>
      <c r="L786" s="4">
        <f t="shared" si="49"/>
        <v>2</v>
      </c>
      <c r="M786" s="4">
        <v>5.7917861404769537</v>
      </c>
      <c r="N786" s="4">
        <v>128.04556531942589</v>
      </c>
      <c r="O786" s="4">
        <v>246.2237258446678</v>
      </c>
      <c r="X786" s="22">
        <f t="shared" si="50"/>
        <v>262.32175062322216</v>
      </c>
      <c r="Y786" s="2">
        <f t="shared" si="51"/>
        <v>259.14640177095021</v>
      </c>
    </row>
    <row r="787" spans="1:25">
      <c r="A787" s="2" t="s">
        <v>9</v>
      </c>
      <c r="B787" s="2" t="s">
        <v>15</v>
      </c>
      <c r="C787" s="2">
        <v>4.699860423406359</v>
      </c>
      <c r="D787" s="2">
        <v>73.469493477066152</v>
      </c>
      <c r="E787" s="2">
        <v>129.08269457432729</v>
      </c>
      <c r="J787" s="4">
        <v>1</v>
      </c>
      <c r="K787" s="4">
        <f t="shared" si="48"/>
        <v>5</v>
      </c>
      <c r="L787" s="4">
        <f t="shared" si="49"/>
        <v>4</v>
      </c>
      <c r="M787" s="4">
        <v>4.699860423406359</v>
      </c>
      <c r="N787" s="4">
        <v>73.469493477066152</v>
      </c>
      <c r="O787" s="4">
        <v>129.08269457432729</v>
      </c>
      <c r="X787" s="22">
        <f t="shared" si="50"/>
        <v>167.49209023721008</v>
      </c>
      <c r="Y787" s="2">
        <f t="shared" si="51"/>
        <v>1475.281675187879</v>
      </c>
    </row>
    <row r="788" spans="1:25">
      <c r="A788" s="2" t="s">
        <v>8</v>
      </c>
      <c r="B788" s="2" t="s">
        <v>17</v>
      </c>
      <c r="C788" s="2">
        <v>4.126089936329584</v>
      </c>
      <c r="D788" s="2">
        <v>149.21281961215331</v>
      </c>
      <c r="E788" s="2">
        <v>284.61777456543098</v>
      </c>
      <c r="J788" s="4">
        <v>1</v>
      </c>
      <c r="K788" s="4">
        <f t="shared" si="48"/>
        <v>4</v>
      </c>
      <c r="L788" s="4">
        <f t="shared" si="49"/>
        <v>6</v>
      </c>
      <c r="M788" s="4">
        <v>4.126089936329584</v>
      </c>
      <c r="N788" s="4">
        <v>149.21281961215331</v>
      </c>
      <c r="O788" s="4">
        <v>284.61777456543098</v>
      </c>
      <c r="X788" s="22">
        <f t="shared" si="50"/>
        <v>273.4162434339849</v>
      </c>
      <c r="Y788" s="2">
        <f t="shared" si="51"/>
        <v>125.47429968875558</v>
      </c>
    </row>
    <row r="789" spans="1:25">
      <c r="A789" s="2" t="s">
        <v>5</v>
      </c>
      <c r="B789" s="2" t="s">
        <v>12</v>
      </c>
      <c r="C789" s="2">
        <v>9.0985001111854515</v>
      </c>
      <c r="D789" s="2">
        <v>86.860203259035245</v>
      </c>
      <c r="E789" s="2">
        <v>253.68036533539421</v>
      </c>
      <c r="J789" s="4">
        <v>1</v>
      </c>
      <c r="K789" s="4">
        <f t="shared" si="48"/>
        <v>1</v>
      </c>
      <c r="L789" s="4">
        <f t="shared" si="49"/>
        <v>1</v>
      </c>
      <c r="M789" s="4">
        <v>9.0985001111854515</v>
      </c>
      <c r="N789" s="4">
        <v>86.860203259035245</v>
      </c>
      <c r="O789" s="4">
        <v>253.68036533539421</v>
      </c>
      <c r="X789" s="22">
        <f t="shared" si="50"/>
        <v>244.80139278092659</v>
      </c>
      <c r="Y789" s="2">
        <f t="shared" si="51"/>
        <v>78.836153622989301</v>
      </c>
    </row>
    <row r="790" spans="1:25">
      <c r="A790" s="2" t="s">
        <v>10</v>
      </c>
      <c r="B790" s="2" t="s">
        <v>13</v>
      </c>
      <c r="C790" s="2">
        <v>1.196410570979406</v>
      </c>
      <c r="D790" s="2">
        <v>22.98710805889214</v>
      </c>
      <c r="E790" s="2">
        <v>29.10171353388435</v>
      </c>
      <c r="J790" s="4">
        <v>1</v>
      </c>
      <c r="K790" s="4">
        <f t="shared" si="48"/>
        <v>6</v>
      </c>
      <c r="L790" s="4">
        <f t="shared" si="49"/>
        <v>2</v>
      </c>
      <c r="M790" s="4">
        <v>1.196410570979406</v>
      </c>
      <c r="N790" s="4">
        <v>22.98710805889214</v>
      </c>
      <c r="O790" s="4">
        <v>29.10171353388435</v>
      </c>
      <c r="X790" s="22">
        <f t="shared" si="50"/>
        <v>48.900180695162767</v>
      </c>
      <c r="Y790" s="2">
        <f t="shared" si="51"/>
        <v>391.97930193621983</v>
      </c>
    </row>
    <row r="791" spans="1:25">
      <c r="A791" s="2" t="s">
        <v>8</v>
      </c>
      <c r="B791" s="2" t="s">
        <v>12</v>
      </c>
      <c r="C791" s="2">
        <v>6.9741071755803006</v>
      </c>
      <c r="D791" s="2">
        <v>158.91437007198039</v>
      </c>
      <c r="E791" s="2">
        <v>338.37389496906411</v>
      </c>
      <c r="J791" s="4">
        <v>1</v>
      </c>
      <c r="K791" s="4">
        <f t="shared" si="48"/>
        <v>4</v>
      </c>
      <c r="L791" s="4">
        <f t="shared" si="49"/>
        <v>1</v>
      </c>
      <c r="M791" s="4">
        <v>6.9741071755803006</v>
      </c>
      <c r="N791" s="4">
        <v>158.91437007198039</v>
      </c>
      <c r="O791" s="4">
        <v>338.37389496906411</v>
      </c>
      <c r="X791" s="22">
        <f t="shared" si="50"/>
        <v>323.6007080684721</v>
      </c>
      <c r="Y791" s="2">
        <f t="shared" si="51"/>
        <v>218.24705119982332</v>
      </c>
    </row>
    <row r="792" spans="1:25">
      <c r="A792" s="2" t="s">
        <v>7</v>
      </c>
      <c r="B792" s="2" t="s">
        <v>14</v>
      </c>
      <c r="C792" s="2">
        <v>9.6705499079219539</v>
      </c>
      <c r="D792" s="2">
        <v>64.294081672614141</v>
      </c>
      <c r="E792" s="2">
        <v>246.68150615317089</v>
      </c>
      <c r="J792" s="4">
        <v>1</v>
      </c>
      <c r="K792" s="4">
        <f t="shared" si="48"/>
        <v>2</v>
      </c>
      <c r="L792" s="4">
        <f t="shared" si="49"/>
        <v>3</v>
      </c>
      <c r="M792" s="4">
        <v>9.6705499079219539</v>
      </c>
      <c r="N792" s="4">
        <v>64.294081672614141</v>
      </c>
      <c r="O792" s="4">
        <v>246.68150615317089</v>
      </c>
      <c r="X792" s="22">
        <f t="shared" si="50"/>
        <v>217.32553219613305</v>
      </c>
      <c r="Y792" s="2">
        <f t="shared" si="51"/>
        <v>861.77320696628351</v>
      </c>
    </row>
    <row r="793" spans="1:25">
      <c r="A793" s="2" t="s">
        <v>7</v>
      </c>
      <c r="B793" s="2" t="s">
        <v>12</v>
      </c>
      <c r="C793" s="2">
        <v>6.0415136511565777</v>
      </c>
      <c r="D793" s="2">
        <v>92.225707123859905</v>
      </c>
      <c r="E793" s="2">
        <v>189.43034912091909</v>
      </c>
      <c r="J793" s="4">
        <v>1</v>
      </c>
      <c r="K793" s="4">
        <f t="shared" si="48"/>
        <v>2</v>
      </c>
      <c r="L793" s="4">
        <f t="shared" si="49"/>
        <v>1</v>
      </c>
      <c r="M793" s="4">
        <v>6.0415136511565777</v>
      </c>
      <c r="N793" s="4">
        <v>92.225707123859905</v>
      </c>
      <c r="O793" s="4">
        <v>189.43034912091909</v>
      </c>
      <c r="X793" s="22">
        <f t="shared" si="50"/>
        <v>214.42407080576905</v>
      </c>
      <c r="Y793" s="2">
        <f t="shared" si="51"/>
        <v>624.68612365973911</v>
      </c>
    </row>
    <row r="794" spans="1:25">
      <c r="A794" s="2" t="s">
        <v>9</v>
      </c>
      <c r="B794" s="2" t="s">
        <v>14</v>
      </c>
      <c r="C794" s="2">
        <v>9.4314021582978267</v>
      </c>
      <c r="D794" s="2">
        <v>140.2343378121613</v>
      </c>
      <c r="E794" s="2">
        <v>395.54146079509792</v>
      </c>
      <c r="J794" s="4">
        <v>1</v>
      </c>
      <c r="K794" s="4">
        <f t="shared" si="48"/>
        <v>5</v>
      </c>
      <c r="L794" s="4">
        <f t="shared" si="49"/>
        <v>3</v>
      </c>
      <c r="M794" s="4">
        <v>9.4314021582978267</v>
      </c>
      <c r="N794" s="4">
        <v>140.2343378121613</v>
      </c>
      <c r="O794" s="4">
        <v>395.54146079509792</v>
      </c>
      <c r="X794" s="22">
        <f t="shared" si="50"/>
        <v>325.11528108788139</v>
      </c>
      <c r="Y794" s="2">
        <f t="shared" si="51"/>
        <v>4959.8467881531578</v>
      </c>
    </row>
    <row r="795" spans="1:25">
      <c r="A795" s="2" t="s">
        <v>6</v>
      </c>
      <c r="B795" s="2" t="s">
        <v>14</v>
      </c>
      <c r="C795" s="2">
        <v>1.4703209135742139</v>
      </c>
      <c r="D795" s="2">
        <v>73.16666985825529</v>
      </c>
      <c r="E795" s="2">
        <v>151.48830380851419</v>
      </c>
      <c r="J795" s="4">
        <v>1</v>
      </c>
      <c r="K795" s="4">
        <f t="shared" si="48"/>
        <v>3</v>
      </c>
      <c r="L795" s="4">
        <f t="shared" si="49"/>
        <v>3</v>
      </c>
      <c r="M795" s="4">
        <v>1.4703209135742139</v>
      </c>
      <c r="N795" s="4">
        <v>73.16666985825529</v>
      </c>
      <c r="O795" s="4">
        <v>151.48830380851419</v>
      </c>
      <c r="X795" s="22">
        <f t="shared" si="50"/>
        <v>128.82497655842928</v>
      </c>
      <c r="Y795" s="2">
        <f t="shared" si="51"/>
        <v>513.62640204444097</v>
      </c>
    </row>
    <row r="796" spans="1:25">
      <c r="A796" s="2" t="s">
        <v>10</v>
      </c>
      <c r="B796" s="2" t="s">
        <v>12</v>
      </c>
      <c r="C796" s="2">
        <v>4.769139871667452</v>
      </c>
      <c r="D796" s="2">
        <v>20.751274667875968</v>
      </c>
      <c r="E796" s="2">
        <v>133.68559514789561</v>
      </c>
      <c r="J796" s="4">
        <v>1</v>
      </c>
      <c r="K796" s="4">
        <f t="shared" si="48"/>
        <v>6</v>
      </c>
      <c r="L796" s="4">
        <f t="shared" si="49"/>
        <v>1</v>
      </c>
      <c r="M796" s="4">
        <v>4.769139871667452</v>
      </c>
      <c r="N796" s="4">
        <v>20.751274667875968</v>
      </c>
      <c r="O796" s="4">
        <v>133.68559514789561</v>
      </c>
      <c r="X796" s="22">
        <f t="shared" si="50"/>
        <v>89.712129704211989</v>
      </c>
      <c r="Y796" s="2">
        <f t="shared" si="51"/>
        <v>1933.6656631268377</v>
      </c>
    </row>
    <row r="797" spans="1:25">
      <c r="A797" s="2" t="s">
        <v>9</v>
      </c>
      <c r="B797" s="2" t="s">
        <v>13</v>
      </c>
      <c r="C797" s="2">
        <v>3.3414201186584598</v>
      </c>
      <c r="D797" s="2">
        <v>81.044998932434581</v>
      </c>
      <c r="E797" s="2">
        <v>189.39540578284161</v>
      </c>
      <c r="J797" s="4">
        <v>1</v>
      </c>
      <c r="K797" s="4">
        <f t="shared" si="48"/>
        <v>5</v>
      </c>
      <c r="L797" s="4">
        <f t="shared" si="49"/>
        <v>2</v>
      </c>
      <c r="M797" s="4">
        <v>3.3414201186584598</v>
      </c>
      <c r="N797" s="4">
        <v>81.044998932434581</v>
      </c>
      <c r="O797" s="4">
        <v>189.39540578284161</v>
      </c>
      <c r="X797" s="22">
        <f t="shared" si="50"/>
        <v>162.30020760354017</v>
      </c>
      <c r="Y797" s="2">
        <f t="shared" si="51"/>
        <v>734.14976437561972</v>
      </c>
    </row>
    <row r="798" spans="1:25">
      <c r="A798" s="2" t="s">
        <v>6</v>
      </c>
      <c r="B798" s="2" t="s">
        <v>17</v>
      </c>
      <c r="C798" s="2">
        <v>7.5773886848265679</v>
      </c>
      <c r="D798" s="2">
        <v>189.44523071191759</v>
      </c>
      <c r="E798" s="2">
        <v>343.43255154777461</v>
      </c>
      <c r="J798" s="4">
        <v>1</v>
      </c>
      <c r="K798" s="4">
        <f t="shared" si="48"/>
        <v>3</v>
      </c>
      <c r="L798" s="4">
        <f t="shared" si="49"/>
        <v>6</v>
      </c>
      <c r="M798" s="4">
        <v>7.5773886848265679</v>
      </c>
      <c r="N798" s="4">
        <v>189.44523071191759</v>
      </c>
      <c r="O798" s="4">
        <v>343.43255154777461</v>
      </c>
      <c r="X798" s="22">
        <f t="shared" si="50"/>
        <v>376.41191592402487</v>
      </c>
      <c r="Y798" s="2">
        <f t="shared" si="51"/>
        <v>1087.6384746614847</v>
      </c>
    </row>
    <row r="799" spans="1:25">
      <c r="A799" s="2" t="s">
        <v>6</v>
      </c>
      <c r="B799" s="2" t="s">
        <v>15</v>
      </c>
      <c r="C799" s="2">
        <v>9.83167381447522</v>
      </c>
      <c r="D799" s="2">
        <v>131.92953548672611</v>
      </c>
      <c r="E799" s="2">
        <v>228.61726546868411</v>
      </c>
      <c r="J799" s="4">
        <v>1</v>
      </c>
      <c r="K799" s="4">
        <f t="shared" si="48"/>
        <v>3</v>
      </c>
      <c r="L799" s="4">
        <f t="shared" si="49"/>
        <v>4</v>
      </c>
      <c r="M799" s="4">
        <v>9.83167381447522</v>
      </c>
      <c r="N799" s="4">
        <v>131.92953548672611</v>
      </c>
      <c r="O799" s="4">
        <v>228.61726546868411</v>
      </c>
      <c r="X799" s="22">
        <f t="shared" si="50"/>
        <v>318.97646011894977</v>
      </c>
      <c r="Y799" s="2">
        <f t="shared" si="51"/>
        <v>8164.7840578445994</v>
      </c>
    </row>
    <row r="800" spans="1:25">
      <c r="A800" s="2" t="s">
        <v>7</v>
      </c>
      <c r="B800" s="2" t="s">
        <v>15</v>
      </c>
      <c r="C800" s="2">
        <v>3.3087705619982302</v>
      </c>
      <c r="D800" s="2">
        <v>137.58103824676931</v>
      </c>
      <c r="E800" s="2">
        <v>269.60453039469928</v>
      </c>
      <c r="J800" s="4">
        <v>1</v>
      </c>
      <c r="K800" s="4">
        <f t="shared" si="48"/>
        <v>2</v>
      </c>
      <c r="L800" s="4">
        <f t="shared" si="49"/>
        <v>4</v>
      </c>
      <c r="M800" s="4">
        <v>3.3087705619982302</v>
      </c>
      <c r="N800" s="4">
        <v>137.58103824676931</v>
      </c>
      <c r="O800" s="4">
        <v>269.60453039469928</v>
      </c>
      <c r="X800" s="22">
        <f t="shared" si="50"/>
        <v>247.75707973942923</v>
      </c>
      <c r="Y800" s="2">
        <f t="shared" si="51"/>
        <v>477.31110013445982</v>
      </c>
    </row>
    <row r="801" spans="1:25">
      <c r="A801" s="2" t="s">
        <v>5</v>
      </c>
      <c r="B801" s="2" t="s">
        <v>17</v>
      </c>
      <c r="C801" s="2">
        <v>6.8875714132666701</v>
      </c>
      <c r="D801" s="2">
        <v>130.13360919115149</v>
      </c>
      <c r="E801" s="2">
        <v>239.9287925455304</v>
      </c>
      <c r="J801" s="4">
        <v>1</v>
      </c>
      <c r="K801" s="4">
        <f t="shared" si="48"/>
        <v>1</v>
      </c>
      <c r="L801" s="4">
        <f t="shared" si="49"/>
        <v>6</v>
      </c>
      <c r="M801" s="4">
        <v>6.8875714132666701</v>
      </c>
      <c r="N801" s="4">
        <v>130.13360919115149</v>
      </c>
      <c r="O801" s="4">
        <v>239.9287925455304</v>
      </c>
      <c r="X801" s="22">
        <f t="shared" si="50"/>
        <v>281.1878442176847</v>
      </c>
      <c r="Y801" s="2">
        <f t="shared" si="51"/>
        <v>1702.3093448854986</v>
      </c>
    </row>
    <row r="802" spans="1:25">
      <c r="A802" s="2" t="s">
        <v>11</v>
      </c>
      <c r="B802" s="2" t="s">
        <v>14</v>
      </c>
      <c r="C802" s="2">
        <v>2.7828786948376609</v>
      </c>
      <c r="D802" s="2">
        <v>47.808506402292991</v>
      </c>
      <c r="E802" s="2">
        <v>111.2784394247706</v>
      </c>
      <c r="J802" s="4">
        <v>1</v>
      </c>
      <c r="K802" s="4">
        <f t="shared" si="48"/>
        <v>7</v>
      </c>
      <c r="L802" s="4">
        <f t="shared" si="49"/>
        <v>3</v>
      </c>
      <c r="M802" s="4">
        <v>2.7828786948376609</v>
      </c>
      <c r="N802" s="4">
        <v>47.808506402292991</v>
      </c>
      <c r="O802" s="4">
        <v>111.2784394247706</v>
      </c>
      <c r="X802" s="22">
        <f t="shared" si="50"/>
        <v>104.47750250468273</v>
      </c>
      <c r="Y802" s="2">
        <f t="shared" si="51"/>
        <v>46.252742991014202</v>
      </c>
    </row>
    <row r="803" spans="1:25">
      <c r="A803" s="2" t="s">
        <v>5</v>
      </c>
      <c r="B803" s="2" t="s">
        <v>14</v>
      </c>
      <c r="C803" s="2">
        <v>6.0879722911444887</v>
      </c>
      <c r="D803" s="2">
        <v>89.483434179433218</v>
      </c>
      <c r="E803" s="2">
        <v>189.595310901088</v>
      </c>
      <c r="J803" s="4">
        <v>1</v>
      </c>
      <c r="K803" s="4">
        <f t="shared" si="48"/>
        <v>1</v>
      </c>
      <c r="L803" s="4">
        <f t="shared" si="49"/>
        <v>3</v>
      </c>
      <c r="M803" s="4">
        <v>6.0879722911444887</v>
      </c>
      <c r="N803" s="4">
        <v>89.483434179433218</v>
      </c>
      <c r="O803" s="4">
        <v>189.595310901088</v>
      </c>
      <c r="X803" s="22">
        <f t="shared" si="50"/>
        <v>211.34904743639828</v>
      </c>
      <c r="Y803" s="2">
        <f t="shared" si="51"/>
        <v>473.22505324769338</v>
      </c>
    </row>
    <row r="804" spans="1:25">
      <c r="A804" s="2" t="s">
        <v>11</v>
      </c>
      <c r="B804" s="2" t="s">
        <v>13</v>
      </c>
      <c r="C804" s="2">
        <v>5.1753923801950261</v>
      </c>
      <c r="D804" s="2">
        <v>152.67856168903049</v>
      </c>
      <c r="E804" s="2">
        <v>263.99340710632612</v>
      </c>
      <c r="J804" s="4">
        <v>1</v>
      </c>
      <c r="K804" s="4">
        <f t="shared" si="48"/>
        <v>7</v>
      </c>
      <c r="L804" s="4">
        <f t="shared" si="49"/>
        <v>2</v>
      </c>
      <c r="M804" s="4">
        <v>5.1753923801950261</v>
      </c>
      <c r="N804" s="4">
        <v>152.67856168903049</v>
      </c>
      <c r="O804" s="4">
        <v>263.99340710632612</v>
      </c>
      <c r="X804" s="22">
        <f t="shared" si="50"/>
        <v>289.92520820763673</v>
      </c>
      <c r="Y804" s="2">
        <f t="shared" si="51"/>
        <v>672.45830835793424</v>
      </c>
    </row>
    <row r="805" spans="1:25">
      <c r="A805" s="2" t="s">
        <v>8</v>
      </c>
      <c r="B805" s="2" t="s">
        <v>16</v>
      </c>
      <c r="C805" s="2">
        <v>9.7480479666838331</v>
      </c>
      <c r="D805" s="2">
        <v>29.260850535100239</v>
      </c>
      <c r="E805" s="2">
        <v>195.6254789509386</v>
      </c>
      <c r="J805" s="4">
        <v>1</v>
      </c>
      <c r="K805" s="4">
        <f t="shared" si="48"/>
        <v>4</v>
      </c>
      <c r="L805" s="4">
        <f t="shared" si="49"/>
        <v>5</v>
      </c>
      <c r="M805" s="4">
        <v>9.7480479666838331</v>
      </c>
      <c r="N805" s="4">
        <v>29.260850535100239</v>
      </c>
      <c r="O805" s="4">
        <v>195.6254789509386</v>
      </c>
      <c r="X805" s="22">
        <f t="shared" si="50"/>
        <v>164.52586180042763</v>
      </c>
      <c r="Y805" s="2">
        <f t="shared" si="51"/>
        <v>967.18618690835581</v>
      </c>
    </row>
    <row r="806" spans="1:25">
      <c r="A806" s="2" t="s">
        <v>7</v>
      </c>
      <c r="B806" s="2" t="s">
        <v>12</v>
      </c>
      <c r="C806" s="2">
        <v>6.4767454542681993</v>
      </c>
      <c r="D806" s="2">
        <v>62.792027457045329</v>
      </c>
      <c r="E806" s="2">
        <v>138.59212539179069</v>
      </c>
      <c r="J806" s="4">
        <v>1</v>
      </c>
      <c r="K806" s="4">
        <f t="shared" si="48"/>
        <v>2</v>
      </c>
      <c r="L806" s="4">
        <f t="shared" si="49"/>
        <v>1</v>
      </c>
      <c r="M806" s="4">
        <v>6.4767454542681993</v>
      </c>
      <c r="N806" s="4">
        <v>62.792027457045329</v>
      </c>
      <c r="O806" s="4">
        <v>138.59212539179069</v>
      </c>
      <c r="X806" s="22">
        <f t="shared" si="50"/>
        <v>176.04246000982477</v>
      </c>
      <c r="Y806" s="2">
        <f t="shared" si="51"/>
        <v>1402.5275630027215</v>
      </c>
    </row>
    <row r="807" spans="1:25">
      <c r="A807" s="2" t="s">
        <v>6</v>
      </c>
      <c r="B807" s="2" t="s">
        <v>14</v>
      </c>
      <c r="C807" s="2">
        <v>4.1455573487813693</v>
      </c>
      <c r="D807" s="2">
        <v>62.500630608512189</v>
      </c>
      <c r="E807" s="2">
        <v>155.65815637797849</v>
      </c>
      <c r="J807" s="4">
        <v>1</v>
      </c>
      <c r="K807" s="4">
        <f t="shared" si="48"/>
        <v>3</v>
      </c>
      <c r="L807" s="4">
        <f t="shared" si="49"/>
        <v>3</v>
      </c>
      <c r="M807" s="4">
        <v>4.1455573487813693</v>
      </c>
      <c r="N807" s="4">
        <v>62.500630608512189</v>
      </c>
      <c r="O807" s="4">
        <v>155.65815637797849</v>
      </c>
      <c r="X807" s="22">
        <f t="shared" si="50"/>
        <v>145.91774387921461</v>
      </c>
      <c r="Y807" s="2">
        <f t="shared" si="51"/>
        <v>94.875635646075494</v>
      </c>
    </row>
    <row r="808" spans="1:25">
      <c r="A808" s="2" t="s">
        <v>10</v>
      </c>
      <c r="B808" s="2" t="s">
        <v>15</v>
      </c>
      <c r="C808" s="2">
        <v>2.0268620639914001</v>
      </c>
      <c r="D808" s="2">
        <v>92.083596242956133</v>
      </c>
      <c r="E808" s="2">
        <v>184.81833398198631</v>
      </c>
      <c r="J808" s="4">
        <v>1</v>
      </c>
      <c r="K808" s="4">
        <f t="shared" si="48"/>
        <v>6</v>
      </c>
      <c r="L808" s="4">
        <f t="shared" si="49"/>
        <v>4</v>
      </c>
      <c r="M808" s="4">
        <v>2.0268620639914001</v>
      </c>
      <c r="N808" s="4">
        <v>92.083596242956133</v>
      </c>
      <c r="O808" s="4">
        <v>184.81833398198631</v>
      </c>
      <c r="X808" s="22">
        <f t="shared" si="50"/>
        <v>161.531924006737</v>
      </c>
      <c r="Y808" s="2">
        <f t="shared" si="51"/>
        <v>542.25688953539077</v>
      </c>
    </row>
    <row r="809" spans="1:25">
      <c r="A809" s="2" t="s">
        <v>11</v>
      </c>
      <c r="B809" s="2" t="s">
        <v>13</v>
      </c>
      <c r="C809" s="2">
        <v>2.3612214586144109</v>
      </c>
      <c r="D809" s="2">
        <v>196.27006077901521</v>
      </c>
      <c r="E809" s="2">
        <v>370.1400116422933</v>
      </c>
      <c r="J809" s="4">
        <v>1</v>
      </c>
      <c r="K809" s="4">
        <f t="shared" si="48"/>
        <v>7</v>
      </c>
      <c r="L809" s="4">
        <f t="shared" si="49"/>
        <v>2</v>
      </c>
      <c r="M809" s="4">
        <v>2.3612214586144109</v>
      </c>
      <c r="N809" s="4">
        <v>196.27006077901521</v>
      </c>
      <c r="O809" s="4">
        <v>370.1400116422933</v>
      </c>
      <c r="X809" s="22">
        <f t="shared" si="50"/>
        <v>320.05183232689615</v>
      </c>
      <c r="Y809" s="2">
        <f t="shared" si="51"/>
        <v>2508.8257071313797</v>
      </c>
    </row>
    <row r="810" spans="1:25">
      <c r="A810" s="2" t="s">
        <v>5</v>
      </c>
      <c r="B810" s="2" t="s">
        <v>12</v>
      </c>
      <c r="C810" s="2">
        <v>3.0278523695611161</v>
      </c>
      <c r="D810" s="2">
        <v>22.82548386992617</v>
      </c>
      <c r="E810" s="2">
        <v>74.535727784591103</v>
      </c>
      <c r="J810" s="4">
        <v>1</v>
      </c>
      <c r="K810" s="4">
        <f t="shared" si="48"/>
        <v>1</v>
      </c>
      <c r="L810" s="4">
        <f t="shared" si="49"/>
        <v>1</v>
      </c>
      <c r="M810" s="4">
        <v>3.0278523695611161</v>
      </c>
      <c r="N810" s="4">
        <v>22.82548386992617</v>
      </c>
      <c r="O810" s="4">
        <v>74.535727784591103</v>
      </c>
      <c r="X810" s="22">
        <f t="shared" si="50"/>
        <v>74.884540667099913</v>
      </c>
      <c r="Y810" s="2">
        <f t="shared" si="51"/>
        <v>0.12167042700410469</v>
      </c>
    </row>
    <row r="811" spans="1:25">
      <c r="A811" s="2" t="s">
        <v>6</v>
      </c>
      <c r="B811" s="2" t="s">
        <v>13</v>
      </c>
      <c r="C811" s="2">
        <v>3.258699952062682</v>
      </c>
      <c r="D811" s="2">
        <v>108.55318893231301</v>
      </c>
      <c r="E811" s="2">
        <v>228.77773084856031</v>
      </c>
      <c r="J811" s="4">
        <v>1</v>
      </c>
      <c r="K811" s="4">
        <f t="shared" si="48"/>
        <v>3</v>
      </c>
      <c r="L811" s="4">
        <f t="shared" si="49"/>
        <v>2</v>
      </c>
      <c r="M811" s="4">
        <v>3.258699952062682</v>
      </c>
      <c r="N811" s="4">
        <v>108.55318893231301</v>
      </c>
      <c r="O811" s="4">
        <v>228.77773084856031</v>
      </c>
      <c r="X811" s="22">
        <f t="shared" si="50"/>
        <v>203.57429943831775</v>
      </c>
      <c r="Y811" s="2">
        <f t="shared" si="51"/>
        <v>635.21295485080122</v>
      </c>
    </row>
    <row r="812" spans="1:25">
      <c r="A812" s="2" t="s">
        <v>11</v>
      </c>
      <c r="B812" s="2" t="s">
        <v>12</v>
      </c>
      <c r="C812" s="2">
        <v>8.6555445205702402</v>
      </c>
      <c r="D812" s="2">
        <v>44.079289582319987</v>
      </c>
      <c r="E812" s="2">
        <v>215.57070670459851</v>
      </c>
      <c r="J812" s="4">
        <v>1</v>
      </c>
      <c r="K812" s="4">
        <f t="shared" si="48"/>
        <v>7</v>
      </c>
      <c r="L812" s="4">
        <f t="shared" si="49"/>
        <v>1</v>
      </c>
      <c r="M812" s="4">
        <v>8.6555445205702402</v>
      </c>
      <c r="N812" s="4">
        <v>44.079289582319987</v>
      </c>
      <c r="O812" s="4">
        <v>215.57070670459851</v>
      </c>
      <c r="X812" s="22">
        <f t="shared" si="50"/>
        <v>171.53128349340713</v>
      </c>
      <c r="Y812" s="2">
        <f t="shared" si="51"/>
        <v>1939.4707967744218</v>
      </c>
    </row>
    <row r="813" spans="1:25">
      <c r="A813" s="2" t="s">
        <v>11</v>
      </c>
      <c r="B813" s="2" t="s">
        <v>12</v>
      </c>
      <c r="C813" s="2">
        <v>6.0510050945427238</v>
      </c>
      <c r="D813" s="2">
        <v>194.42854362785141</v>
      </c>
      <c r="E813" s="2">
        <v>372.49206072734307</v>
      </c>
      <c r="J813" s="4">
        <v>1</v>
      </c>
      <c r="K813" s="4">
        <f t="shared" si="48"/>
        <v>7</v>
      </c>
      <c r="L813" s="4">
        <f t="shared" si="49"/>
        <v>1</v>
      </c>
      <c r="M813" s="4">
        <v>6.0510050945427238</v>
      </c>
      <c r="N813" s="4">
        <v>194.42854362785141</v>
      </c>
      <c r="O813" s="4">
        <v>372.49206072734307</v>
      </c>
      <c r="X813" s="22">
        <f t="shared" si="50"/>
        <v>362.89120583506673</v>
      </c>
      <c r="Y813" s="2">
        <f t="shared" si="51"/>
        <v>92.176414662546634</v>
      </c>
    </row>
    <row r="814" spans="1:25">
      <c r="A814" s="2" t="s">
        <v>11</v>
      </c>
      <c r="B814" s="2" t="s">
        <v>17</v>
      </c>
      <c r="C814" s="2">
        <v>5.7105182023692977</v>
      </c>
      <c r="D814" s="2">
        <v>31.527665898218199</v>
      </c>
      <c r="E814" s="2">
        <v>100.6277938935484</v>
      </c>
      <c r="J814" s="4">
        <v>1</v>
      </c>
      <c r="K814" s="4">
        <f t="shared" si="48"/>
        <v>7</v>
      </c>
      <c r="L814" s="4">
        <f t="shared" si="49"/>
        <v>6</v>
      </c>
      <c r="M814" s="4">
        <v>5.7105182023692977</v>
      </c>
      <c r="N814" s="4">
        <v>31.527665898218199</v>
      </c>
      <c r="O814" s="4">
        <v>100.6277938935484</v>
      </c>
      <c r="X814" s="22">
        <f t="shared" si="50"/>
        <v>115.91675545599209</v>
      </c>
      <c r="Y814" s="2">
        <f t="shared" si="51"/>
        <v>233.75234565788057</v>
      </c>
    </row>
    <row r="815" spans="1:25">
      <c r="A815" s="2" t="s">
        <v>10</v>
      </c>
      <c r="B815" s="2" t="s">
        <v>14</v>
      </c>
      <c r="C815" s="2">
        <v>2.0329198468229568</v>
      </c>
      <c r="D815" s="2">
        <v>86.684190448702338</v>
      </c>
      <c r="E815" s="2">
        <v>176.4256766812635</v>
      </c>
      <c r="J815" s="4">
        <v>1</v>
      </c>
      <c r="K815" s="4">
        <f t="shared" si="48"/>
        <v>6</v>
      </c>
      <c r="L815" s="4">
        <f t="shared" si="49"/>
        <v>3</v>
      </c>
      <c r="M815" s="4">
        <v>2.0329198468229568</v>
      </c>
      <c r="N815" s="4">
        <v>86.684190448702338</v>
      </c>
      <c r="O815" s="4">
        <v>176.4256766812635</v>
      </c>
      <c r="X815" s="22">
        <f t="shared" si="50"/>
        <v>153.72169148947893</v>
      </c>
      <c r="Y815" s="2">
        <f t="shared" si="51"/>
        <v>515.47094358877291</v>
      </c>
    </row>
    <row r="816" spans="1:25">
      <c r="A816" s="2" t="s">
        <v>7</v>
      </c>
      <c r="B816" s="2" t="s">
        <v>13</v>
      </c>
      <c r="C816" s="2">
        <v>8.7412572401449147</v>
      </c>
      <c r="D816" s="2">
        <v>150.19814711857521</v>
      </c>
      <c r="E816" s="2">
        <v>347.45043336891518</v>
      </c>
      <c r="J816" s="4">
        <v>1</v>
      </c>
      <c r="K816" s="4">
        <f t="shared" si="48"/>
        <v>2</v>
      </c>
      <c r="L816" s="4">
        <f t="shared" si="49"/>
        <v>2</v>
      </c>
      <c r="M816" s="4">
        <v>8.7412572401449147</v>
      </c>
      <c r="N816" s="4">
        <v>150.19814711857521</v>
      </c>
      <c r="O816" s="4">
        <v>347.45043336891518</v>
      </c>
      <c r="X816" s="22">
        <f t="shared" si="50"/>
        <v>333.68253652303326</v>
      </c>
      <c r="Y816" s="2">
        <f t="shared" si="51"/>
        <v>189.55498355884535</v>
      </c>
    </row>
    <row r="817" spans="1:25">
      <c r="A817" s="2" t="s">
        <v>10</v>
      </c>
      <c r="B817" s="2" t="s">
        <v>13</v>
      </c>
      <c r="C817" s="2">
        <v>7.5053287288763526</v>
      </c>
      <c r="D817" s="2">
        <v>143.86534132521459</v>
      </c>
      <c r="E817" s="2">
        <v>311.2181051451438</v>
      </c>
      <c r="J817" s="4">
        <v>1</v>
      </c>
      <c r="K817" s="4">
        <f t="shared" si="48"/>
        <v>6</v>
      </c>
      <c r="L817" s="4">
        <f t="shared" si="49"/>
        <v>2</v>
      </c>
      <c r="M817" s="4">
        <v>7.5053287288763526</v>
      </c>
      <c r="N817" s="4">
        <v>143.86534132521459</v>
      </c>
      <c r="O817" s="4">
        <v>311.2181051451438</v>
      </c>
      <c r="X817" s="22">
        <f t="shared" si="50"/>
        <v>306.22584220930179</v>
      </c>
      <c r="Y817" s="2">
        <f t="shared" si="51"/>
        <v>24.922689220581852</v>
      </c>
    </row>
    <row r="818" spans="1:25">
      <c r="A818" s="2" t="s">
        <v>9</v>
      </c>
      <c r="B818" s="2" t="s">
        <v>17</v>
      </c>
      <c r="C818" s="2">
        <v>1.609015257100014</v>
      </c>
      <c r="D818" s="2">
        <v>90.318441009847135</v>
      </c>
      <c r="E818" s="2">
        <v>143.3928776786581</v>
      </c>
      <c r="J818" s="4">
        <v>1</v>
      </c>
      <c r="K818" s="4">
        <f t="shared" si="48"/>
        <v>5</v>
      </c>
      <c r="L818" s="4">
        <f t="shared" si="49"/>
        <v>6</v>
      </c>
      <c r="M818" s="4">
        <v>1.609015257100014</v>
      </c>
      <c r="N818" s="4">
        <v>90.318441009847135</v>
      </c>
      <c r="O818" s="4">
        <v>143.3928776786581</v>
      </c>
      <c r="X818" s="22">
        <f t="shared" si="50"/>
        <v>154.19142230612013</v>
      </c>
      <c r="Y818" s="2">
        <f t="shared" si="51"/>
        <v>116.6085660712892</v>
      </c>
    </row>
    <row r="819" spans="1:25">
      <c r="A819" s="2" t="s">
        <v>6</v>
      </c>
      <c r="B819" s="2" t="s">
        <v>15</v>
      </c>
      <c r="C819" s="2">
        <v>7.3705158750679178</v>
      </c>
      <c r="D819" s="2">
        <v>75.83959191101647</v>
      </c>
      <c r="E819" s="2">
        <v>210.14314148516991</v>
      </c>
      <c r="J819" s="4">
        <v>1</v>
      </c>
      <c r="K819" s="4">
        <f t="shared" si="48"/>
        <v>3</v>
      </c>
      <c r="L819" s="4">
        <f t="shared" si="49"/>
        <v>4</v>
      </c>
      <c r="M819" s="4">
        <v>7.3705158750679178</v>
      </c>
      <c r="N819" s="4">
        <v>75.83959191101647</v>
      </c>
      <c r="O819" s="4">
        <v>210.14314148516991</v>
      </c>
      <c r="X819" s="22">
        <f t="shared" si="50"/>
        <v>205.31437204872395</v>
      </c>
      <c r="Y819" s="2">
        <f t="shared" si="51"/>
        <v>23.317014270354562</v>
      </c>
    </row>
    <row r="820" spans="1:25">
      <c r="A820" s="2" t="s">
        <v>7</v>
      </c>
      <c r="B820" s="2" t="s">
        <v>15</v>
      </c>
      <c r="C820" s="2">
        <v>5.8918439560838154</v>
      </c>
      <c r="D820" s="2">
        <v>85.546351925045414</v>
      </c>
      <c r="E820" s="2">
        <v>207.21255129559421</v>
      </c>
      <c r="J820" s="4">
        <v>1</v>
      </c>
      <c r="K820" s="4">
        <f t="shared" si="48"/>
        <v>2</v>
      </c>
      <c r="L820" s="4">
        <f t="shared" si="49"/>
        <v>4</v>
      </c>
      <c r="M820" s="4">
        <v>5.8918439560838154</v>
      </c>
      <c r="N820" s="4">
        <v>85.546351925045414</v>
      </c>
      <c r="O820" s="4">
        <v>207.21255129559421</v>
      </c>
      <c r="X820" s="22">
        <f t="shared" si="50"/>
        <v>202.23731383402395</v>
      </c>
      <c r="Y820" s="2">
        <f t="shared" si="51"/>
        <v>24.752987799012075</v>
      </c>
    </row>
    <row r="821" spans="1:25">
      <c r="A821" s="2" t="s">
        <v>7</v>
      </c>
      <c r="B821" s="2" t="s">
        <v>14</v>
      </c>
      <c r="C821" s="2">
        <v>1.735528111721004</v>
      </c>
      <c r="D821" s="2">
        <v>60.212490000141457</v>
      </c>
      <c r="E821" s="2">
        <v>105.62426858109291</v>
      </c>
      <c r="J821" s="4">
        <v>1</v>
      </c>
      <c r="K821" s="4">
        <f t="shared" si="48"/>
        <v>2</v>
      </c>
      <c r="L821" s="4">
        <f t="shared" si="49"/>
        <v>3</v>
      </c>
      <c r="M821" s="4">
        <v>1.735528111721004</v>
      </c>
      <c r="N821" s="4">
        <v>60.212490000141457</v>
      </c>
      <c r="O821" s="4">
        <v>105.62426858109291</v>
      </c>
      <c r="X821" s="22">
        <f t="shared" si="50"/>
        <v>113.54620918950397</v>
      </c>
      <c r="Y821" s="2">
        <f t="shared" si="51"/>
        <v>62.757143003192247</v>
      </c>
    </row>
    <row r="822" spans="1:25">
      <c r="A822" s="2" t="s">
        <v>7</v>
      </c>
      <c r="B822" s="2" t="s">
        <v>14</v>
      </c>
      <c r="C822" s="2">
        <v>5.124705773757908</v>
      </c>
      <c r="D822" s="2">
        <v>49.013258354291963</v>
      </c>
      <c r="E822" s="2">
        <v>127.11252829372729</v>
      </c>
      <c r="J822" s="4">
        <v>1</v>
      </c>
      <c r="K822" s="4">
        <f t="shared" si="48"/>
        <v>2</v>
      </c>
      <c r="L822" s="4">
        <f t="shared" si="49"/>
        <v>3</v>
      </c>
      <c r="M822" s="4">
        <v>5.124705773757908</v>
      </c>
      <c r="N822" s="4">
        <v>49.013258354291963</v>
      </c>
      <c r="O822" s="4">
        <v>127.11252829372729</v>
      </c>
      <c r="X822" s="22">
        <f t="shared" si="50"/>
        <v>138.6382417087494</v>
      </c>
      <c r="Y822" s="2">
        <f t="shared" si="51"/>
        <v>132.84206972522065</v>
      </c>
    </row>
    <row r="823" spans="1:25">
      <c r="A823" s="2" t="s">
        <v>5</v>
      </c>
      <c r="B823" s="2" t="s">
        <v>16</v>
      </c>
      <c r="C823" s="2">
        <v>5.3622665841704231</v>
      </c>
      <c r="D823" s="2">
        <v>101.7775425361891</v>
      </c>
      <c r="E823" s="2">
        <v>252.8819844660882</v>
      </c>
      <c r="J823" s="4">
        <v>1</v>
      </c>
      <c r="K823" s="4">
        <f t="shared" si="48"/>
        <v>1</v>
      </c>
      <c r="L823" s="4">
        <f t="shared" si="49"/>
        <v>5</v>
      </c>
      <c r="M823" s="4">
        <v>5.3622665841704231</v>
      </c>
      <c r="N823" s="4">
        <v>101.7775425361891</v>
      </c>
      <c r="O823" s="4">
        <v>252.8819844660882</v>
      </c>
      <c r="X823" s="22">
        <f t="shared" si="50"/>
        <v>220.40434624701987</v>
      </c>
      <c r="Y823" s="2">
        <f t="shared" si="51"/>
        <v>1054.7969842886876</v>
      </c>
    </row>
    <row r="824" spans="1:25">
      <c r="A824" s="2" t="s">
        <v>7</v>
      </c>
      <c r="B824" s="2" t="s">
        <v>17</v>
      </c>
      <c r="C824" s="2">
        <v>2.4919708614694822</v>
      </c>
      <c r="D824" s="2">
        <v>61.021413652845389</v>
      </c>
      <c r="E824" s="2">
        <v>116.83103290966081</v>
      </c>
      <c r="J824" s="4">
        <v>1</v>
      </c>
      <c r="K824" s="4">
        <f t="shared" si="48"/>
        <v>2</v>
      </c>
      <c r="L824" s="4">
        <f t="shared" si="49"/>
        <v>6</v>
      </c>
      <c r="M824" s="4">
        <v>2.4919708614694822</v>
      </c>
      <c r="N824" s="4">
        <v>61.021413652845389</v>
      </c>
      <c r="O824" s="4">
        <v>116.83103290966081</v>
      </c>
      <c r="X824" s="22">
        <f t="shared" si="50"/>
        <v>123.64580282510238</v>
      </c>
      <c r="Y824" s="2">
        <f t="shared" si="51"/>
        <v>46.441089000407551</v>
      </c>
    </row>
    <row r="825" spans="1:25">
      <c r="A825" s="2" t="s">
        <v>10</v>
      </c>
      <c r="B825" s="2" t="s">
        <v>15</v>
      </c>
      <c r="C825" s="2">
        <v>9.5112833230025409</v>
      </c>
      <c r="D825" s="2">
        <v>64.617716330477521</v>
      </c>
      <c r="E825" s="2">
        <v>144.85712891561019</v>
      </c>
      <c r="J825" s="4">
        <v>1</v>
      </c>
      <c r="K825" s="4">
        <f t="shared" si="48"/>
        <v>6</v>
      </c>
      <c r="L825" s="4">
        <f t="shared" si="49"/>
        <v>4</v>
      </c>
      <c r="M825" s="4">
        <v>9.5112833230025409</v>
      </c>
      <c r="N825" s="4">
        <v>64.617716330477521</v>
      </c>
      <c r="O825" s="4">
        <v>144.85712891561019</v>
      </c>
      <c r="X825" s="22">
        <f t="shared" si="50"/>
        <v>212.88000165078176</v>
      </c>
      <c r="Y825" s="2">
        <f t="shared" si="51"/>
        <v>4627.1112151453481</v>
      </c>
    </row>
    <row r="826" spans="1:25">
      <c r="A826" s="2" t="s">
        <v>7</v>
      </c>
      <c r="B826" s="2" t="s">
        <v>12</v>
      </c>
      <c r="C826" s="2">
        <v>8.6497783433259574</v>
      </c>
      <c r="D826" s="2">
        <v>134.78365206016579</v>
      </c>
      <c r="E826" s="2">
        <v>337.464202022385</v>
      </c>
      <c r="J826" s="4">
        <v>1</v>
      </c>
      <c r="K826" s="4">
        <f t="shared" si="48"/>
        <v>2</v>
      </c>
      <c r="L826" s="4">
        <f t="shared" si="49"/>
        <v>1</v>
      </c>
      <c r="M826" s="4">
        <v>8.6497783433259574</v>
      </c>
      <c r="N826" s="4">
        <v>134.78365206016579</v>
      </c>
      <c r="O826" s="4">
        <v>337.464202022385</v>
      </c>
      <c r="X826" s="22">
        <f t="shared" si="50"/>
        <v>309.78787047452943</v>
      </c>
      <c r="Y826" s="2">
        <f t="shared" si="51"/>
        <v>765.97932794682538</v>
      </c>
    </row>
    <row r="827" spans="1:25">
      <c r="A827" s="2" t="s">
        <v>8</v>
      </c>
      <c r="B827" s="2" t="s">
        <v>13</v>
      </c>
      <c r="C827" s="2">
        <v>7.0212010359619752</v>
      </c>
      <c r="D827" s="2">
        <v>194.0220930229795</v>
      </c>
      <c r="E827" s="2">
        <v>361.20538663342529</v>
      </c>
      <c r="J827" s="4">
        <v>1</v>
      </c>
      <c r="K827" s="4">
        <f t="shared" si="48"/>
        <v>4</v>
      </c>
      <c r="L827" s="4">
        <f t="shared" si="49"/>
        <v>2</v>
      </c>
      <c r="M827" s="4">
        <v>7.0212010359619752</v>
      </c>
      <c r="N827" s="4">
        <v>194.0220930229795</v>
      </c>
      <c r="O827" s="4">
        <v>361.20538663342529</v>
      </c>
      <c r="X827" s="22">
        <f t="shared" si="50"/>
        <v>376.21475520339084</v>
      </c>
      <c r="Y827" s="2">
        <f t="shared" si="51"/>
        <v>225.28114486906955</v>
      </c>
    </row>
    <row r="828" spans="1:25">
      <c r="A828" s="2" t="s">
        <v>6</v>
      </c>
      <c r="B828" s="2" t="s">
        <v>14</v>
      </c>
      <c r="C828" s="2">
        <v>5.1606600490054646</v>
      </c>
      <c r="D828" s="2">
        <v>124.69106810628131</v>
      </c>
      <c r="E828" s="2">
        <v>282.53640331984752</v>
      </c>
      <c r="J828" s="4">
        <v>1</v>
      </c>
      <c r="K828" s="4">
        <f t="shared" si="48"/>
        <v>3</v>
      </c>
      <c r="L828" s="4">
        <f t="shared" si="49"/>
        <v>3</v>
      </c>
      <c r="M828" s="4">
        <v>5.1606600490054646</v>
      </c>
      <c r="N828" s="4">
        <v>124.69106810628131</v>
      </c>
      <c r="O828" s="4">
        <v>282.53640331984752</v>
      </c>
      <c r="X828" s="22">
        <f t="shared" si="50"/>
        <v>250.83866703394466</v>
      </c>
      <c r="Y828" s="2">
        <f t="shared" si="51"/>
        <v>1004.7464856506431</v>
      </c>
    </row>
    <row r="829" spans="1:25">
      <c r="A829" s="2" t="s">
        <v>7</v>
      </c>
      <c r="B829" s="2" t="s">
        <v>13</v>
      </c>
      <c r="C829" s="2">
        <v>4.7058898742605768</v>
      </c>
      <c r="D829" s="2">
        <v>24.62609874234359</v>
      </c>
      <c r="E829" s="2">
        <v>60.61880671529407</v>
      </c>
      <c r="J829" s="4">
        <v>1</v>
      </c>
      <c r="K829" s="4">
        <f t="shared" si="48"/>
        <v>2</v>
      </c>
      <c r="L829" s="4">
        <f t="shared" si="49"/>
        <v>2</v>
      </c>
      <c r="M829" s="4">
        <v>4.7058898742605768</v>
      </c>
      <c r="N829" s="4">
        <v>24.62609874234359</v>
      </c>
      <c r="O829" s="4">
        <v>60.61880671529407</v>
      </c>
      <c r="X829" s="22">
        <f t="shared" si="50"/>
        <v>97.378466593595419</v>
      </c>
      <c r="Y829" s="2">
        <f t="shared" si="51"/>
        <v>1351.2725943683979</v>
      </c>
    </row>
    <row r="830" spans="1:25">
      <c r="A830" s="2" t="s">
        <v>6</v>
      </c>
      <c r="B830" s="2" t="s">
        <v>13</v>
      </c>
      <c r="C830" s="2">
        <v>6.8587612043585873</v>
      </c>
      <c r="D830" s="2">
        <v>24.36088663227272</v>
      </c>
      <c r="E830" s="2">
        <v>141.8299259232802</v>
      </c>
      <c r="J830" s="4">
        <v>1</v>
      </c>
      <c r="K830" s="4">
        <f t="shared" si="48"/>
        <v>3</v>
      </c>
      <c r="L830" s="4">
        <f t="shared" si="49"/>
        <v>2</v>
      </c>
      <c r="M830" s="4">
        <v>6.8587612043585873</v>
      </c>
      <c r="N830" s="4">
        <v>24.36088663227272</v>
      </c>
      <c r="O830" s="4">
        <v>141.8299259232802</v>
      </c>
      <c r="X830" s="22">
        <f t="shared" si="50"/>
        <v>122.78878197412564</v>
      </c>
      <c r="Y830" s="2">
        <f t="shared" si="51"/>
        <v>362.56516289242529</v>
      </c>
    </row>
    <row r="831" spans="1:25">
      <c r="A831" s="2" t="s">
        <v>8</v>
      </c>
      <c r="B831" s="2" t="s">
        <v>16</v>
      </c>
      <c r="C831" s="2">
        <v>5.9088868246621491</v>
      </c>
      <c r="D831" s="2">
        <v>190.7704119606575</v>
      </c>
      <c r="E831" s="2">
        <v>413.00493957417513</v>
      </c>
      <c r="J831" s="4">
        <v>1</v>
      </c>
      <c r="K831" s="4">
        <f t="shared" si="48"/>
        <v>4</v>
      </c>
      <c r="L831" s="4">
        <f t="shared" si="49"/>
        <v>5</v>
      </c>
      <c r="M831" s="4">
        <v>5.9088868246621491</v>
      </c>
      <c r="N831" s="4">
        <v>190.7704119606575</v>
      </c>
      <c r="O831" s="4">
        <v>413.00493957417513</v>
      </c>
      <c r="X831" s="22">
        <f t="shared" si="50"/>
        <v>357.26760914248462</v>
      </c>
      <c r="Y831" s="2">
        <f t="shared" si="51"/>
        <v>3106.6500036514531</v>
      </c>
    </row>
    <row r="832" spans="1:25">
      <c r="A832" s="2" t="s">
        <v>8</v>
      </c>
      <c r="B832" s="2" t="s">
        <v>15</v>
      </c>
      <c r="C832" s="2">
        <v>1.5604579529369711</v>
      </c>
      <c r="D832" s="2">
        <v>66.485250158393399</v>
      </c>
      <c r="E832" s="2">
        <v>117.1164143317442</v>
      </c>
      <c r="J832" s="4">
        <v>1</v>
      </c>
      <c r="K832" s="4">
        <f t="shared" si="48"/>
        <v>4</v>
      </c>
      <c r="L832" s="4">
        <f t="shared" si="49"/>
        <v>4</v>
      </c>
      <c r="M832" s="4">
        <v>1.5604579529369711</v>
      </c>
      <c r="N832" s="4">
        <v>66.485250158393399</v>
      </c>
      <c r="O832" s="4">
        <v>117.1164143317442</v>
      </c>
      <c r="X832" s="22">
        <f t="shared" si="50"/>
        <v>119.16004332773758</v>
      </c>
      <c r="Y832" s="2">
        <f t="shared" si="51"/>
        <v>4.1764194732649402</v>
      </c>
    </row>
    <row r="833" spans="1:25">
      <c r="A833" s="2" t="s">
        <v>6</v>
      </c>
      <c r="B833" s="2" t="s">
        <v>14</v>
      </c>
      <c r="C833" s="2">
        <v>5.6125238389329848</v>
      </c>
      <c r="D833" s="2">
        <v>27.492727355670329</v>
      </c>
      <c r="E833" s="2">
        <v>147.08802046685221</v>
      </c>
      <c r="J833" s="4">
        <v>1</v>
      </c>
      <c r="K833" s="4">
        <f t="shared" si="48"/>
        <v>3</v>
      </c>
      <c r="L833" s="4">
        <f t="shared" si="49"/>
        <v>3</v>
      </c>
      <c r="M833" s="4">
        <v>5.6125238389329848</v>
      </c>
      <c r="N833" s="4">
        <v>27.492727355670329</v>
      </c>
      <c r="O833" s="4">
        <v>147.08802046685221</v>
      </c>
      <c r="X833" s="22">
        <f t="shared" si="50"/>
        <v>111.95734459117506</v>
      </c>
      <c r="Y833" s="2">
        <f t="shared" si="51"/>
        <v>1234.1643874818849</v>
      </c>
    </row>
    <row r="834" spans="1:25">
      <c r="A834" s="2" t="s">
        <v>11</v>
      </c>
      <c r="B834" s="2" t="s">
        <v>13</v>
      </c>
      <c r="C834" s="2">
        <v>8.2576325550955545</v>
      </c>
      <c r="D834" s="2">
        <v>123.8184715585725</v>
      </c>
      <c r="E834" s="2">
        <v>304.39299989089938</v>
      </c>
      <c r="J834" s="4">
        <v>1</v>
      </c>
      <c r="K834" s="4">
        <f t="shared" si="48"/>
        <v>7</v>
      </c>
      <c r="L834" s="4">
        <f t="shared" si="49"/>
        <v>2</v>
      </c>
      <c r="M834" s="4">
        <v>8.2576325550955545</v>
      </c>
      <c r="N834" s="4">
        <v>123.8184715585725</v>
      </c>
      <c r="O834" s="4">
        <v>304.39299989089938</v>
      </c>
      <c r="X834" s="22">
        <f t="shared" si="50"/>
        <v>284.99188040112654</v>
      </c>
      <c r="Y834" s="2">
        <f t="shared" si="51"/>
        <v>376.4034374564435</v>
      </c>
    </row>
    <row r="835" spans="1:25">
      <c r="A835" s="2" t="s">
        <v>9</v>
      </c>
      <c r="B835" s="2" t="s">
        <v>14</v>
      </c>
      <c r="C835" s="2">
        <v>5.1331588983726224</v>
      </c>
      <c r="D835" s="2">
        <v>128.49326787515059</v>
      </c>
      <c r="E835" s="2">
        <v>239.90052435511399</v>
      </c>
      <c r="J835" s="4">
        <v>1</v>
      </c>
      <c r="K835" s="4">
        <f t="shared" si="48"/>
        <v>5</v>
      </c>
      <c r="L835" s="4">
        <f t="shared" si="49"/>
        <v>3</v>
      </c>
      <c r="M835" s="4">
        <v>5.1331588983726224</v>
      </c>
      <c r="N835" s="4">
        <v>128.49326787515059</v>
      </c>
      <c r="O835" s="4">
        <v>239.90052435511399</v>
      </c>
      <c r="X835" s="22">
        <f t="shared" si="50"/>
        <v>254.73740453758717</v>
      </c>
      <c r="Y835" s="2">
        <f t="shared" si="51"/>
        <v>220.1330135490654</v>
      </c>
    </row>
    <row r="836" spans="1:25">
      <c r="A836" s="2" t="s">
        <v>5</v>
      </c>
      <c r="B836" s="2" t="s">
        <v>12</v>
      </c>
      <c r="C836" s="2">
        <v>1.467609197988416</v>
      </c>
      <c r="D836" s="2">
        <v>133.21591582255081</v>
      </c>
      <c r="E836" s="2">
        <v>256.26220020752947</v>
      </c>
      <c r="J836" s="4">
        <v>1</v>
      </c>
      <c r="K836" s="4">
        <f t="shared" ref="K836:K899" si="52">VLOOKUP(A836, $F$3:$G$9, 2, FALSE)</f>
        <v>1</v>
      </c>
      <c r="L836" s="4">
        <f t="shared" ref="L836:L899" si="53">VLOOKUP(B836, $H$3:$I$8, 2, FALSE)</f>
        <v>1</v>
      </c>
      <c r="M836" s="4">
        <v>1.467609197988416</v>
      </c>
      <c r="N836" s="4">
        <v>133.21591582255081</v>
      </c>
      <c r="O836" s="4">
        <v>256.26220020752947</v>
      </c>
      <c r="X836" s="22">
        <f t="shared" ref="X836:X899" si="54">$U$16+$U$17*K836+$U$18*L836+$U$19*M836+$U$20*N836</f>
        <v>219.72168326548618</v>
      </c>
      <c r="Y836" s="2">
        <f t="shared" ref="Y836:Y899" si="55">POWER(O836-X836,2)</f>
        <v>1335.2093783917533</v>
      </c>
    </row>
    <row r="837" spans="1:25">
      <c r="A837" s="2" t="s">
        <v>11</v>
      </c>
      <c r="B837" s="2" t="s">
        <v>16</v>
      </c>
      <c r="C837" s="2">
        <v>8.076503794456297</v>
      </c>
      <c r="D837" s="2">
        <v>60.806385292932838</v>
      </c>
      <c r="E837" s="2">
        <v>112.378401590241</v>
      </c>
      <c r="J837" s="4">
        <v>1</v>
      </c>
      <c r="K837" s="4">
        <f t="shared" si="52"/>
        <v>7</v>
      </c>
      <c r="L837" s="4">
        <f t="shared" si="53"/>
        <v>5</v>
      </c>
      <c r="M837" s="4">
        <v>8.076503794456297</v>
      </c>
      <c r="N837" s="4">
        <v>60.806385292932838</v>
      </c>
      <c r="O837" s="4">
        <v>112.378401590241</v>
      </c>
      <c r="X837" s="22">
        <f t="shared" si="54"/>
        <v>188.70210731350841</v>
      </c>
      <c r="Y837" s="2">
        <f t="shared" si="55"/>
        <v>5825.3080553319223</v>
      </c>
    </row>
    <row r="838" spans="1:25">
      <c r="A838" s="2" t="s">
        <v>11</v>
      </c>
      <c r="B838" s="2" t="s">
        <v>12</v>
      </c>
      <c r="C838" s="2">
        <v>2.81227403922377</v>
      </c>
      <c r="D838" s="2">
        <v>12.87103000075026</v>
      </c>
      <c r="E838" s="2">
        <v>57.205099298791502</v>
      </c>
      <c r="J838" s="4">
        <v>1</v>
      </c>
      <c r="K838" s="4">
        <f t="shared" si="52"/>
        <v>7</v>
      </c>
      <c r="L838" s="4">
        <f t="shared" si="53"/>
        <v>1</v>
      </c>
      <c r="M838" s="4">
        <v>2.81227403922377</v>
      </c>
      <c r="N838" s="4">
        <v>12.87103000075026</v>
      </c>
      <c r="O838" s="4">
        <v>57.205099298791502</v>
      </c>
      <c r="X838" s="22">
        <f t="shared" si="54"/>
        <v>53.197547627294199</v>
      </c>
      <c r="Y838" s="2">
        <f t="shared" si="55"/>
        <v>16.060470399720831</v>
      </c>
    </row>
    <row r="839" spans="1:25">
      <c r="A839" s="2" t="s">
        <v>10</v>
      </c>
      <c r="B839" s="2" t="s">
        <v>14</v>
      </c>
      <c r="C839" s="2">
        <v>3.327587513992349</v>
      </c>
      <c r="D839" s="2">
        <v>193.35292019634969</v>
      </c>
      <c r="E839" s="2">
        <v>389.62951894814671</v>
      </c>
      <c r="J839" s="4">
        <v>1</v>
      </c>
      <c r="K839" s="4">
        <f t="shared" si="52"/>
        <v>6</v>
      </c>
      <c r="L839" s="4">
        <f t="shared" si="53"/>
        <v>3</v>
      </c>
      <c r="M839" s="4">
        <v>3.327587513992349</v>
      </c>
      <c r="N839" s="4">
        <v>193.35292019634969</v>
      </c>
      <c r="O839" s="4">
        <v>389.62951894814671</v>
      </c>
      <c r="X839" s="22">
        <f t="shared" si="54"/>
        <v>328.18407760158192</v>
      </c>
      <c r="Y839" s="2">
        <f t="shared" si="55"/>
        <v>3775.5422622741339</v>
      </c>
    </row>
    <row r="840" spans="1:25">
      <c r="A840" s="2" t="s">
        <v>5</v>
      </c>
      <c r="B840" s="2" t="s">
        <v>14</v>
      </c>
      <c r="C840" s="2">
        <v>2.4823571808906628</v>
      </c>
      <c r="D840" s="2">
        <v>57.66967868130947</v>
      </c>
      <c r="E840" s="2">
        <v>141.1892434508807</v>
      </c>
      <c r="J840" s="4">
        <v>1</v>
      </c>
      <c r="K840" s="4">
        <f t="shared" si="52"/>
        <v>1</v>
      </c>
      <c r="L840" s="4">
        <f t="shared" si="53"/>
        <v>3</v>
      </c>
      <c r="M840" s="4">
        <v>2.4823571808906628</v>
      </c>
      <c r="N840" s="4">
        <v>57.66967868130947</v>
      </c>
      <c r="O840" s="4">
        <v>141.1892434508807</v>
      </c>
      <c r="X840" s="22">
        <f t="shared" si="54"/>
        <v>119.67049711269968</v>
      </c>
      <c r="Y840" s="2">
        <f t="shared" si="55"/>
        <v>463.05644396697897</v>
      </c>
    </row>
    <row r="841" spans="1:25">
      <c r="A841" s="2" t="s">
        <v>5</v>
      </c>
      <c r="B841" s="2" t="s">
        <v>15</v>
      </c>
      <c r="C841" s="2">
        <v>3.9719355838434778</v>
      </c>
      <c r="D841" s="2">
        <v>138.44499472998399</v>
      </c>
      <c r="E841" s="2">
        <v>261.85159567347841</v>
      </c>
      <c r="J841" s="4">
        <v>1</v>
      </c>
      <c r="K841" s="4">
        <f t="shared" si="52"/>
        <v>1</v>
      </c>
      <c r="L841" s="4">
        <f t="shared" si="53"/>
        <v>4</v>
      </c>
      <c r="M841" s="4">
        <v>3.9719355838434778</v>
      </c>
      <c r="N841" s="4">
        <v>138.44499472998399</v>
      </c>
      <c r="O841" s="4">
        <v>261.85159567347841</v>
      </c>
      <c r="X841" s="22">
        <f t="shared" si="54"/>
        <v>257.91387957404311</v>
      </c>
      <c r="Y841" s="2">
        <f t="shared" si="55"/>
        <v>15.505608079752003</v>
      </c>
    </row>
    <row r="842" spans="1:25">
      <c r="A842" s="2" t="s">
        <v>11</v>
      </c>
      <c r="B842" s="2" t="s">
        <v>13</v>
      </c>
      <c r="C842" s="2">
        <v>7.8107635511977156</v>
      </c>
      <c r="D842" s="2">
        <v>144.25967527695479</v>
      </c>
      <c r="E842" s="2">
        <v>304.30907841906219</v>
      </c>
      <c r="J842" s="4">
        <v>1</v>
      </c>
      <c r="K842" s="4">
        <f t="shared" si="52"/>
        <v>7</v>
      </c>
      <c r="L842" s="4">
        <f t="shared" si="53"/>
        <v>2</v>
      </c>
      <c r="M842" s="4">
        <v>7.8107635511977156</v>
      </c>
      <c r="N842" s="4">
        <v>144.25967527695479</v>
      </c>
      <c r="O842" s="4">
        <v>304.30907841906219</v>
      </c>
      <c r="X842" s="22">
        <f t="shared" si="54"/>
        <v>309.86654129234137</v>
      </c>
      <c r="Y842" s="2">
        <f t="shared" si="55"/>
        <v>30.885393587876457</v>
      </c>
    </row>
    <row r="843" spans="1:25">
      <c r="A843" s="2" t="s">
        <v>7</v>
      </c>
      <c r="B843" s="2" t="s">
        <v>13</v>
      </c>
      <c r="C843" s="2">
        <v>5.6744727355354359</v>
      </c>
      <c r="D843" s="2">
        <v>125.9014092451023</v>
      </c>
      <c r="E843" s="2">
        <v>282.25653413246971</v>
      </c>
      <c r="J843" s="4">
        <v>1</v>
      </c>
      <c r="K843" s="4">
        <f t="shared" si="52"/>
        <v>2</v>
      </c>
      <c r="L843" s="4">
        <f t="shared" si="53"/>
        <v>2</v>
      </c>
      <c r="M843" s="4">
        <v>5.6744727355354359</v>
      </c>
      <c r="N843" s="4">
        <v>125.9014092451023</v>
      </c>
      <c r="O843" s="4">
        <v>282.25653413246971</v>
      </c>
      <c r="X843" s="22">
        <f t="shared" si="54"/>
        <v>259.81025135736081</v>
      </c>
      <c r="Y843" s="2">
        <f t="shared" si="55"/>
        <v>503.83561042015043</v>
      </c>
    </row>
    <row r="844" spans="1:25">
      <c r="A844" s="2" t="s">
        <v>10</v>
      </c>
      <c r="B844" s="2" t="s">
        <v>12</v>
      </c>
      <c r="C844" s="2">
        <v>2.8439314673564131</v>
      </c>
      <c r="D844" s="2">
        <v>69.452404900593166</v>
      </c>
      <c r="E844" s="2">
        <v>141.4984887870543</v>
      </c>
      <c r="J844" s="4">
        <v>1</v>
      </c>
      <c r="K844" s="4">
        <f t="shared" si="52"/>
        <v>6</v>
      </c>
      <c r="L844" s="4">
        <f t="shared" si="53"/>
        <v>1</v>
      </c>
      <c r="M844" s="4">
        <v>2.8439314673564131</v>
      </c>
      <c r="N844" s="4">
        <v>69.452404900593166</v>
      </c>
      <c r="O844" s="4">
        <v>141.4984887870543</v>
      </c>
      <c r="X844" s="22">
        <f t="shared" si="54"/>
        <v>138.37902686924411</v>
      </c>
      <c r="Y844" s="2">
        <f t="shared" si="55"/>
        <v>9.7310426566679951</v>
      </c>
    </row>
    <row r="845" spans="1:25">
      <c r="A845" s="2" t="s">
        <v>10</v>
      </c>
      <c r="B845" s="2" t="s">
        <v>16</v>
      </c>
      <c r="C845" s="2">
        <v>8.9004707033683665</v>
      </c>
      <c r="D845" s="2">
        <v>61.508288215172499</v>
      </c>
      <c r="E845" s="2">
        <v>157.20384207914009</v>
      </c>
      <c r="J845" s="4">
        <v>1</v>
      </c>
      <c r="K845" s="4">
        <f t="shared" si="52"/>
        <v>6</v>
      </c>
      <c r="L845" s="4">
        <f t="shared" si="53"/>
        <v>5</v>
      </c>
      <c r="M845" s="4">
        <v>8.9004707033683665</v>
      </c>
      <c r="N845" s="4">
        <v>61.508288215172499</v>
      </c>
      <c r="O845" s="4">
        <v>157.20384207914009</v>
      </c>
      <c r="X845" s="22">
        <f t="shared" si="54"/>
        <v>200.59823244688152</v>
      </c>
      <c r="Y845" s="2">
        <f t="shared" si="55"/>
        <v>1883.0731153879308</v>
      </c>
    </row>
    <row r="846" spans="1:25">
      <c r="A846" s="2" t="s">
        <v>8</v>
      </c>
      <c r="B846" s="2" t="s">
        <v>17</v>
      </c>
      <c r="C846" s="2">
        <v>8.9162366945637626</v>
      </c>
      <c r="D846" s="2">
        <v>123.5569737135136</v>
      </c>
      <c r="E846" s="2">
        <v>372.22870929343492</v>
      </c>
      <c r="J846" s="4">
        <v>1</v>
      </c>
      <c r="K846" s="4">
        <f t="shared" si="52"/>
        <v>4</v>
      </c>
      <c r="L846" s="4">
        <f t="shared" si="53"/>
        <v>6</v>
      </c>
      <c r="M846" s="4">
        <v>8.9162366945637626</v>
      </c>
      <c r="N846" s="4">
        <v>123.5569737135136</v>
      </c>
      <c r="O846" s="4">
        <v>372.22870929343492</v>
      </c>
      <c r="X846" s="22">
        <f t="shared" si="54"/>
        <v>294.27627592016972</v>
      </c>
      <c r="Y846" s="2">
        <f t="shared" si="55"/>
        <v>6076.5818688133495</v>
      </c>
    </row>
    <row r="847" spans="1:25">
      <c r="A847" s="2" t="s">
        <v>5</v>
      </c>
      <c r="B847" s="2" t="s">
        <v>13</v>
      </c>
      <c r="C847" s="2">
        <v>8.8352058254140626</v>
      </c>
      <c r="D847" s="2">
        <v>174.55817038622141</v>
      </c>
      <c r="E847" s="2">
        <v>390.56460631752901</v>
      </c>
      <c r="J847" s="4">
        <v>1</v>
      </c>
      <c r="K847" s="4">
        <f t="shared" si="52"/>
        <v>1</v>
      </c>
      <c r="L847" s="4">
        <f t="shared" si="53"/>
        <v>2</v>
      </c>
      <c r="M847" s="4">
        <v>8.8352058254140626</v>
      </c>
      <c r="N847" s="4">
        <v>174.55817038622141</v>
      </c>
      <c r="O847" s="4">
        <v>390.56460631752901</v>
      </c>
      <c r="X847" s="22">
        <f t="shared" si="54"/>
        <v>371.74719014589056</v>
      </c>
      <c r="Y847" s="2">
        <f t="shared" si="55"/>
        <v>354.0951513766405</v>
      </c>
    </row>
    <row r="848" spans="1:25">
      <c r="A848" s="2" t="s">
        <v>11</v>
      </c>
      <c r="B848" s="2" t="s">
        <v>15</v>
      </c>
      <c r="C848" s="2">
        <v>3.149165902433853</v>
      </c>
      <c r="D848" s="2">
        <v>189.87940849544509</v>
      </c>
      <c r="E848" s="2">
        <v>317.57398510453442</v>
      </c>
      <c r="J848" s="4">
        <v>1</v>
      </c>
      <c r="K848" s="4">
        <f t="shared" si="52"/>
        <v>7</v>
      </c>
      <c r="L848" s="4">
        <f t="shared" si="53"/>
        <v>4</v>
      </c>
      <c r="M848" s="4">
        <v>3.149165902433853</v>
      </c>
      <c r="N848" s="4">
        <v>189.87940849544509</v>
      </c>
      <c r="O848" s="4">
        <v>317.57398510453442</v>
      </c>
      <c r="X848" s="22">
        <f t="shared" si="54"/>
        <v>319.97929720515447</v>
      </c>
      <c r="Y848" s="2">
        <f t="shared" si="55"/>
        <v>5.7855263013892442</v>
      </c>
    </row>
    <row r="849" spans="1:25">
      <c r="A849" s="2" t="s">
        <v>8</v>
      </c>
      <c r="B849" s="2" t="s">
        <v>12</v>
      </c>
      <c r="C849" s="2">
        <v>5.0611540976288927</v>
      </c>
      <c r="D849" s="2">
        <v>30.12210283671395</v>
      </c>
      <c r="E849" s="2">
        <v>81.135987252099085</v>
      </c>
      <c r="J849" s="4">
        <v>1</v>
      </c>
      <c r="K849" s="4">
        <f t="shared" si="52"/>
        <v>4</v>
      </c>
      <c r="L849" s="4">
        <f t="shared" si="53"/>
        <v>1</v>
      </c>
      <c r="M849" s="4">
        <v>5.0611540976288927</v>
      </c>
      <c r="N849" s="4">
        <v>30.12210283671395</v>
      </c>
      <c r="O849" s="4">
        <v>81.135987252099085</v>
      </c>
      <c r="X849" s="22">
        <f t="shared" si="54"/>
        <v>108.64699931694284</v>
      </c>
      <c r="Y849" s="2">
        <f t="shared" si="55"/>
        <v>756.85578483197867</v>
      </c>
    </row>
    <row r="850" spans="1:25">
      <c r="A850" s="2" t="s">
        <v>6</v>
      </c>
      <c r="B850" s="2" t="s">
        <v>12</v>
      </c>
      <c r="C850" s="2">
        <v>9.8649069052678762</v>
      </c>
      <c r="D850" s="2">
        <v>39.417436393566767</v>
      </c>
      <c r="E850" s="2">
        <v>194.6589155900995</v>
      </c>
      <c r="J850" s="4">
        <v>1</v>
      </c>
      <c r="K850" s="4">
        <f t="shared" si="52"/>
        <v>3</v>
      </c>
      <c r="L850" s="4">
        <f t="shared" si="53"/>
        <v>1</v>
      </c>
      <c r="M850" s="4">
        <v>9.8649069052678762</v>
      </c>
      <c r="N850" s="4">
        <v>39.417436393566767</v>
      </c>
      <c r="O850" s="4">
        <v>194.6589155900995</v>
      </c>
      <c r="X850" s="22">
        <f t="shared" si="54"/>
        <v>182.32176142061982</v>
      </c>
      <c r="Y850" s="2">
        <f t="shared" si="55"/>
        <v>152.20537300150971</v>
      </c>
    </row>
    <row r="851" spans="1:25">
      <c r="A851" s="2" t="s">
        <v>9</v>
      </c>
      <c r="B851" s="2" t="s">
        <v>17</v>
      </c>
      <c r="C851" s="2">
        <v>7.9481122867899137</v>
      </c>
      <c r="D851" s="2">
        <v>189.4998891687851</v>
      </c>
      <c r="E851" s="2">
        <v>346.25003909760932</v>
      </c>
      <c r="J851" s="4">
        <v>1</v>
      </c>
      <c r="K851" s="4">
        <f t="shared" si="52"/>
        <v>5</v>
      </c>
      <c r="L851" s="4">
        <f t="shared" si="53"/>
        <v>6</v>
      </c>
      <c r="M851" s="4">
        <v>7.9481122867899137</v>
      </c>
      <c r="N851" s="4">
        <v>189.4998891687851</v>
      </c>
      <c r="O851" s="4">
        <v>346.25003909760932</v>
      </c>
      <c r="X851" s="22">
        <f t="shared" si="54"/>
        <v>379.6452943411004</v>
      </c>
      <c r="Y851" s="2">
        <f t="shared" si="55"/>
        <v>1115.2430727779183</v>
      </c>
    </row>
    <row r="852" spans="1:25">
      <c r="A852" s="2" t="s">
        <v>10</v>
      </c>
      <c r="B852" s="2" t="s">
        <v>15</v>
      </c>
      <c r="C852" s="2">
        <v>1.244506791030038</v>
      </c>
      <c r="D852" s="2">
        <v>149.94169338361061</v>
      </c>
      <c r="E852" s="2">
        <v>245.72114221553429</v>
      </c>
      <c r="J852" s="4">
        <v>1</v>
      </c>
      <c r="K852" s="4">
        <f t="shared" si="52"/>
        <v>6</v>
      </c>
      <c r="L852" s="4">
        <f t="shared" si="53"/>
        <v>4</v>
      </c>
      <c r="M852" s="4">
        <v>1.244506791030038</v>
      </c>
      <c r="N852" s="4">
        <v>149.94169338361061</v>
      </c>
      <c r="O852" s="4">
        <v>245.72114221553429</v>
      </c>
      <c r="X852" s="22">
        <f t="shared" si="54"/>
        <v>237.88027560066212</v>
      </c>
      <c r="Y852" s="2">
        <f t="shared" si="55"/>
        <v>61.479189272216949</v>
      </c>
    </row>
    <row r="853" spans="1:25">
      <c r="A853" s="2" t="s">
        <v>6</v>
      </c>
      <c r="B853" s="2" t="s">
        <v>16</v>
      </c>
      <c r="C853" s="2">
        <v>1.586841321344429</v>
      </c>
      <c r="D853" s="2">
        <v>177.76882671765691</v>
      </c>
      <c r="E853" s="2">
        <v>259.00932823371539</v>
      </c>
      <c r="J853" s="4">
        <v>1</v>
      </c>
      <c r="K853" s="4">
        <f t="shared" si="52"/>
        <v>3</v>
      </c>
      <c r="L853" s="4">
        <f t="shared" si="53"/>
        <v>5</v>
      </c>
      <c r="M853" s="4">
        <v>1.586841321344429</v>
      </c>
      <c r="N853" s="4">
        <v>177.76882671765691</v>
      </c>
      <c r="O853" s="4">
        <v>259.00932823371539</v>
      </c>
      <c r="X853" s="22">
        <f t="shared" si="54"/>
        <v>285.42989733241154</v>
      </c>
      <c r="Y853" s="2">
        <f t="shared" si="55"/>
        <v>698.04647149897778</v>
      </c>
    </row>
    <row r="854" spans="1:25">
      <c r="A854" s="2" t="s">
        <v>6</v>
      </c>
      <c r="B854" s="2" t="s">
        <v>15</v>
      </c>
      <c r="C854" s="2">
        <v>5.1753823913109951</v>
      </c>
      <c r="D854" s="2">
        <v>48.500200485715197</v>
      </c>
      <c r="E854" s="2">
        <v>160.40058649607019</v>
      </c>
      <c r="J854" s="4">
        <v>1</v>
      </c>
      <c r="K854" s="4">
        <f t="shared" si="52"/>
        <v>3</v>
      </c>
      <c r="L854" s="4">
        <f t="shared" si="53"/>
        <v>4</v>
      </c>
      <c r="M854" s="4">
        <v>5.1753823913109951</v>
      </c>
      <c r="N854" s="4">
        <v>48.500200485715197</v>
      </c>
      <c r="O854" s="4">
        <v>160.40058649607019</v>
      </c>
      <c r="X854" s="22">
        <f t="shared" si="54"/>
        <v>137.65413694340799</v>
      </c>
      <c r="Y854" s="2">
        <f t="shared" si="55"/>
        <v>517.40096725180638</v>
      </c>
    </row>
    <row r="855" spans="1:25">
      <c r="A855" s="2" t="s">
        <v>7</v>
      </c>
      <c r="B855" s="2" t="s">
        <v>16</v>
      </c>
      <c r="C855" s="2">
        <v>9.1829818527540414</v>
      </c>
      <c r="D855" s="2">
        <v>121.6413155107864</v>
      </c>
      <c r="E855" s="2">
        <v>272.17428224401863</v>
      </c>
      <c r="J855" s="4">
        <v>1</v>
      </c>
      <c r="K855" s="4">
        <f t="shared" si="52"/>
        <v>2</v>
      </c>
      <c r="L855" s="4">
        <f t="shared" si="53"/>
        <v>5</v>
      </c>
      <c r="M855" s="4">
        <v>9.1829818527540414</v>
      </c>
      <c r="N855" s="4">
        <v>121.6413155107864</v>
      </c>
      <c r="O855" s="4">
        <v>272.17428224401863</v>
      </c>
      <c r="X855" s="22">
        <f t="shared" si="54"/>
        <v>296.2664034551629</v>
      </c>
      <c r="Y855" s="2">
        <f t="shared" si="55"/>
        <v>580.43030445246779</v>
      </c>
    </row>
    <row r="856" spans="1:25">
      <c r="A856" s="2" t="s">
        <v>9</v>
      </c>
      <c r="B856" s="2" t="s">
        <v>15</v>
      </c>
      <c r="C856" s="2">
        <v>5.848316181574428</v>
      </c>
      <c r="D856" s="2">
        <v>143.21652293931999</v>
      </c>
      <c r="E856" s="2">
        <v>208.70365014611241</v>
      </c>
      <c r="J856" s="4">
        <v>1</v>
      </c>
      <c r="K856" s="4">
        <f t="shared" si="52"/>
        <v>5</v>
      </c>
      <c r="L856" s="4">
        <f t="shared" si="53"/>
        <v>4</v>
      </c>
      <c r="M856" s="4">
        <v>5.848316181574428</v>
      </c>
      <c r="N856" s="4">
        <v>143.21652293931999</v>
      </c>
      <c r="O856" s="4">
        <v>208.70365014611241</v>
      </c>
      <c r="X856" s="22">
        <f t="shared" si="54"/>
        <v>285.28494491975493</v>
      </c>
      <c r="Y856" s="2">
        <f t="shared" si="55"/>
        <v>5864.6947092075279</v>
      </c>
    </row>
    <row r="857" spans="1:25">
      <c r="A857" s="2" t="s">
        <v>6</v>
      </c>
      <c r="B857" s="2" t="s">
        <v>15</v>
      </c>
      <c r="C857" s="2">
        <v>5.4803125723086117</v>
      </c>
      <c r="D857" s="2">
        <v>139.22125823492479</v>
      </c>
      <c r="E857" s="2">
        <v>235.44070493170881</v>
      </c>
      <c r="J857" s="4">
        <v>1</v>
      </c>
      <c r="K857" s="4">
        <f t="shared" si="52"/>
        <v>3</v>
      </c>
      <c r="L857" s="4">
        <f t="shared" si="53"/>
        <v>4</v>
      </c>
      <c r="M857" s="4">
        <v>5.4803125723086117</v>
      </c>
      <c r="N857" s="4">
        <v>139.22125823492479</v>
      </c>
      <c r="O857" s="4">
        <v>235.44070493170881</v>
      </c>
      <c r="X857" s="22">
        <f t="shared" si="54"/>
        <v>276.22895764250779</v>
      </c>
      <c r="Y857" s="2">
        <f t="shared" si="55"/>
        <v>1663.6815592000007</v>
      </c>
    </row>
    <row r="858" spans="1:25">
      <c r="A858" s="2" t="s">
        <v>6</v>
      </c>
      <c r="B858" s="2" t="s">
        <v>14</v>
      </c>
      <c r="C858" s="2">
        <v>1.949263299609675</v>
      </c>
      <c r="D858" s="2">
        <v>87.54882126467264</v>
      </c>
      <c r="E858" s="2">
        <v>157.24938544201311</v>
      </c>
      <c r="J858" s="4">
        <v>1</v>
      </c>
      <c r="K858" s="4">
        <f t="shared" si="52"/>
        <v>3</v>
      </c>
      <c r="L858" s="4">
        <f t="shared" si="53"/>
        <v>3</v>
      </c>
      <c r="M858" s="4">
        <v>1.949263299609675</v>
      </c>
      <c r="N858" s="4">
        <v>87.54882126467264</v>
      </c>
      <c r="O858" s="4">
        <v>157.24938544201311</v>
      </c>
      <c r="X858" s="22">
        <f t="shared" si="54"/>
        <v>156.09598476554311</v>
      </c>
      <c r="Y858" s="2">
        <f t="shared" si="55"/>
        <v>1.3303331204814526</v>
      </c>
    </row>
    <row r="859" spans="1:25">
      <c r="A859" s="2" t="s">
        <v>9</v>
      </c>
      <c r="B859" s="2" t="s">
        <v>12</v>
      </c>
      <c r="C859" s="2">
        <v>6.9110209425186468</v>
      </c>
      <c r="D859" s="2">
        <v>12.92502942134861</v>
      </c>
      <c r="E859" s="2">
        <v>40.463435643455391</v>
      </c>
      <c r="J859" s="4">
        <v>1</v>
      </c>
      <c r="K859" s="4">
        <f t="shared" si="52"/>
        <v>5</v>
      </c>
      <c r="L859" s="4">
        <f t="shared" si="53"/>
        <v>1</v>
      </c>
      <c r="M859" s="4">
        <v>6.9110209425186468</v>
      </c>
      <c r="N859" s="4">
        <v>12.92502942134861</v>
      </c>
      <c r="O859" s="4">
        <v>40.463435643455391</v>
      </c>
      <c r="X859" s="22">
        <f t="shared" si="54"/>
        <v>105.16374315914344</v>
      </c>
      <c r="Y859" s="2">
        <f t="shared" si="55"/>
        <v>4186.1297926245998</v>
      </c>
    </row>
    <row r="860" spans="1:25">
      <c r="A860" s="2" t="s">
        <v>9</v>
      </c>
      <c r="B860" s="2" t="s">
        <v>15</v>
      </c>
      <c r="C860" s="2">
        <v>8.3989284454020297</v>
      </c>
      <c r="D860" s="2">
        <v>120.75595079281</v>
      </c>
      <c r="E860" s="2">
        <v>311.59653349162818</v>
      </c>
      <c r="J860" s="4">
        <v>1</v>
      </c>
      <c r="K860" s="4">
        <f t="shared" si="52"/>
        <v>5</v>
      </c>
      <c r="L860" s="4">
        <f t="shared" si="53"/>
        <v>4</v>
      </c>
      <c r="M860" s="4">
        <v>8.3989284454020297</v>
      </c>
      <c r="N860" s="4">
        <v>120.75595079281</v>
      </c>
      <c r="O860" s="4">
        <v>311.59653349162818</v>
      </c>
      <c r="X860" s="22">
        <f t="shared" si="54"/>
        <v>283.31530006681459</v>
      </c>
      <c r="Y860" s="2">
        <f t="shared" si="55"/>
        <v>799.82816402879359</v>
      </c>
    </row>
    <row r="861" spans="1:25">
      <c r="A861" s="2" t="s">
        <v>6</v>
      </c>
      <c r="B861" s="2" t="s">
        <v>17</v>
      </c>
      <c r="C861" s="2">
        <v>4.4237800675680612</v>
      </c>
      <c r="D861" s="2">
        <v>58.089292444125661</v>
      </c>
      <c r="E861" s="2">
        <v>105.69544864763451</v>
      </c>
      <c r="J861" s="4">
        <v>1</v>
      </c>
      <c r="K861" s="4">
        <f t="shared" si="52"/>
        <v>3</v>
      </c>
      <c r="L861" s="4">
        <f t="shared" si="53"/>
        <v>6</v>
      </c>
      <c r="M861" s="4">
        <v>4.4237800675680612</v>
      </c>
      <c r="N861" s="4">
        <v>58.089292444125661</v>
      </c>
      <c r="O861" s="4">
        <v>105.69544864763451</v>
      </c>
      <c r="X861" s="22">
        <f t="shared" si="54"/>
        <v>142.37063552522866</v>
      </c>
      <c r="Y861" s="2">
        <f t="shared" si="55"/>
        <v>1345.0693325064547</v>
      </c>
    </row>
    <row r="862" spans="1:25">
      <c r="A862" s="2" t="s">
        <v>9</v>
      </c>
      <c r="B862" s="2" t="s">
        <v>15</v>
      </c>
      <c r="C862" s="2">
        <v>7.9805066583279469</v>
      </c>
      <c r="D862" s="2">
        <v>95.548306767149157</v>
      </c>
      <c r="E862" s="2">
        <v>178.56464438398359</v>
      </c>
      <c r="J862" s="4">
        <v>1</v>
      </c>
      <c r="K862" s="4">
        <f t="shared" si="52"/>
        <v>5</v>
      </c>
      <c r="L862" s="4">
        <f t="shared" si="53"/>
        <v>4</v>
      </c>
      <c r="M862" s="4">
        <v>7.9805066583279469</v>
      </c>
      <c r="N862" s="4">
        <v>95.548306767149157</v>
      </c>
      <c r="O862" s="4">
        <v>178.56464438398359</v>
      </c>
      <c r="X862" s="22">
        <f t="shared" si="54"/>
        <v>240.70187842840784</v>
      </c>
      <c r="Y862" s="2">
        <f t="shared" si="55"/>
        <v>3861.0358546915554</v>
      </c>
    </row>
    <row r="863" spans="1:25">
      <c r="A863" s="2" t="s">
        <v>6</v>
      </c>
      <c r="B863" s="2" t="s">
        <v>13</v>
      </c>
      <c r="C863" s="2">
        <v>9.6802898851073049</v>
      </c>
      <c r="D863" s="2">
        <v>191.9403928659253</v>
      </c>
      <c r="E863" s="2">
        <v>320.58928692646782</v>
      </c>
      <c r="J863" s="4">
        <v>1</v>
      </c>
      <c r="K863" s="4">
        <f t="shared" si="52"/>
        <v>3</v>
      </c>
      <c r="L863" s="4">
        <f t="shared" si="53"/>
        <v>2</v>
      </c>
      <c r="M863" s="4">
        <v>9.6802898851073049</v>
      </c>
      <c r="N863" s="4">
        <v>191.9403928659253</v>
      </c>
      <c r="O863" s="4">
        <v>320.58928692646782</v>
      </c>
      <c r="X863" s="22">
        <f t="shared" si="54"/>
        <v>406.57230801305764</v>
      </c>
      <c r="Y863" s="2">
        <f t="shared" si="55"/>
        <v>7393.0799151769488</v>
      </c>
    </row>
    <row r="864" spans="1:25">
      <c r="A864" s="2" t="s">
        <v>6</v>
      </c>
      <c r="B864" s="2" t="s">
        <v>12</v>
      </c>
      <c r="C864" s="2">
        <v>2.8338981321492018</v>
      </c>
      <c r="D864" s="2">
        <v>85.8167103520626</v>
      </c>
      <c r="E864" s="2">
        <v>188.6566551716727</v>
      </c>
      <c r="J864" s="4">
        <v>1</v>
      </c>
      <c r="K864" s="4">
        <f t="shared" si="52"/>
        <v>3</v>
      </c>
      <c r="L864" s="4">
        <f t="shared" si="53"/>
        <v>1</v>
      </c>
      <c r="M864" s="4">
        <v>2.8338981321492018</v>
      </c>
      <c r="N864" s="4">
        <v>85.8167103520626</v>
      </c>
      <c r="O864" s="4">
        <v>188.6566551716727</v>
      </c>
      <c r="X864" s="22">
        <f t="shared" si="54"/>
        <v>164.69387621026067</v>
      </c>
      <c r="Y864" s="2">
        <f t="shared" si="55"/>
        <v>574.21477555349088</v>
      </c>
    </row>
    <row r="865" spans="1:25">
      <c r="A865" s="2" t="s">
        <v>7</v>
      </c>
      <c r="B865" s="2" t="s">
        <v>13</v>
      </c>
      <c r="C865" s="2">
        <v>5.7099666807526717</v>
      </c>
      <c r="D865" s="2">
        <v>169.56230526624111</v>
      </c>
      <c r="E865" s="2">
        <v>357.0588819273969</v>
      </c>
      <c r="J865" s="4">
        <v>1</v>
      </c>
      <c r="K865" s="4">
        <f t="shared" si="52"/>
        <v>2</v>
      </c>
      <c r="L865" s="4">
        <f t="shared" si="53"/>
        <v>2</v>
      </c>
      <c r="M865" s="4">
        <v>5.7099666807526717</v>
      </c>
      <c r="N865" s="4">
        <v>169.56230526624111</v>
      </c>
      <c r="O865" s="4">
        <v>357.0588819273969</v>
      </c>
      <c r="X865" s="22">
        <f t="shared" si="54"/>
        <v>325.13144103055151</v>
      </c>
      <c r="Y865" s="2">
        <f t="shared" si="55"/>
        <v>1019.3614822215551</v>
      </c>
    </row>
    <row r="866" spans="1:25">
      <c r="A866" s="2" t="s">
        <v>11</v>
      </c>
      <c r="B866" s="2" t="s">
        <v>12</v>
      </c>
      <c r="C866" s="2">
        <v>3.58424162276118</v>
      </c>
      <c r="D866" s="2">
        <v>45.822715092357718</v>
      </c>
      <c r="E866" s="2">
        <v>87.36553428424557</v>
      </c>
      <c r="J866" s="4">
        <v>1</v>
      </c>
      <c r="K866" s="4">
        <f t="shared" si="52"/>
        <v>7</v>
      </c>
      <c r="L866" s="4">
        <f t="shared" si="53"/>
        <v>1</v>
      </c>
      <c r="M866" s="4">
        <v>3.58424162276118</v>
      </c>
      <c r="N866" s="4">
        <v>45.822715092357718</v>
      </c>
      <c r="O866" s="4">
        <v>87.36553428424557</v>
      </c>
      <c r="X866" s="22">
        <f t="shared" si="54"/>
        <v>111.67297195352859</v>
      </c>
      <c r="Y866" s="2">
        <f t="shared" si="55"/>
        <v>590.85152604607902</v>
      </c>
    </row>
    <row r="867" spans="1:25">
      <c r="A867" s="2" t="s">
        <v>6</v>
      </c>
      <c r="B867" s="2" t="s">
        <v>13</v>
      </c>
      <c r="C867" s="2">
        <v>8.1356897713045537</v>
      </c>
      <c r="D867" s="2">
        <v>137.7674946247555</v>
      </c>
      <c r="E867" s="2">
        <v>288.63901884120332</v>
      </c>
      <c r="J867" s="4">
        <v>1</v>
      </c>
      <c r="K867" s="4">
        <f t="shared" si="52"/>
        <v>3</v>
      </c>
      <c r="L867" s="4">
        <f t="shared" si="53"/>
        <v>2</v>
      </c>
      <c r="M867" s="4">
        <v>8.1356897713045537</v>
      </c>
      <c r="N867" s="4">
        <v>137.7674946247555</v>
      </c>
      <c r="O867" s="4">
        <v>288.63901884120332</v>
      </c>
      <c r="X867" s="22">
        <f t="shared" si="54"/>
        <v>307.04583174794402</v>
      </c>
      <c r="Y867" s="2">
        <f t="shared" si="55"/>
        <v>338.8107613837559</v>
      </c>
    </row>
    <row r="868" spans="1:25">
      <c r="A868" s="2" t="s">
        <v>8</v>
      </c>
      <c r="B868" s="2" t="s">
        <v>15</v>
      </c>
      <c r="C868" s="2">
        <v>6.1983402929304177</v>
      </c>
      <c r="D868" s="2">
        <v>195.63132134339929</v>
      </c>
      <c r="E868" s="2">
        <v>336.22440617915589</v>
      </c>
      <c r="J868" s="4">
        <v>1</v>
      </c>
      <c r="K868" s="4">
        <f t="shared" si="52"/>
        <v>4</v>
      </c>
      <c r="L868" s="4">
        <f t="shared" si="53"/>
        <v>4</v>
      </c>
      <c r="M868" s="4">
        <v>6.1983402929304177</v>
      </c>
      <c r="N868" s="4">
        <v>195.63132134339929</v>
      </c>
      <c r="O868" s="4">
        <v>336.22440617915589</v>
      </c>
      <c r="X868" s="22">
        <f t="shared" si="54"/>
        <v>368.19494941178698</v>
      </c>
      <c r="Y868" s="2">
        <f t="shared" si="55"/>
        <v>1022.1156345895334</v>
      </c>
    </row>
    <row r="869" spans="1:25">
      <c r="A869" s="2" t="s">
        <v>10</v>
      </c>
      <c r="B869" s="2" t="s">
        <v>15</v>
      </c>
      <c r="C869" s="2">
        <v>6.7112417579527337</v>
      </c>
      <c r="D869" s="2">
        <v>29.35968916585799</v>
      </c>
      <c r="E869" s="2">
        <v>98.090634124480459</v>
      </c>
      <c r="J869" s="4">
        <v>1</v>
      </c>
      <c r="K869" s="4">
        <f t="shared" si="52"/>
        <v>6</v>
      </c>
      <c r="L869" s="4">
        <f t="shared" si="53"/>
        <v>4</v>
      </c>
      <c r="M869" s="4">
        <v>6.7112417579527337</v>
      </c>
      <c r="N869" s="4">
        <v>29.35968916585799</v>
      </c>
      <c r="O869" s="4">
        <v>98.090634124480459</v>
      </c>
      <c r="X869" s="22">
        <f t="shared" si="54"/>
        <v>126.00296652464215</v>
      </c>
      <c r="Y869" s="2">
        <f t="shared" si="55"/>
        <v>779.09830001711589</v>
      </c>
    </row>
    <row r="870" spans="1:25">
      <c r="A870" s="2" t="s">
        <v>5</v>
      </c>
      <c r="B870" s="2" t="s">
        <v>14</v>
      </c>
      <c r="C870" s="2">
        <v>8.1812274365430468</v>
      </c>
      <c r="D870" s="2">
        <v>11.58078902316648</v>
      </c>
      <c r="E870" s="2">
        <v>111.1614365708153</v>
      </c>
      <c r="J870" s="4">
        <v>1</v>
      </c>
      <c r="K870" s="4">
        <f t="shared" si="52"/>
        <v>1</v>
      </c>
      <c r="L870" s="4">
        <f t="shared" si="53"/>
        <v>3</v>
      </c>
      <c r="M870" s="4">
        <v>8.1812274365430468</v>
      </c>
      <c r="N870" s="4">
        <v>11.58078902316648</v>
      </c>
      <c r="O870" s="4">
        <v>111.1614365708153</v>
      </c>
      <c r="X870" s="22">
        <f t="shared" si="54"/>
        <v>121.35537870887012</v>
      </c>
      <c r="Y870" s="2">
        <f t="shared" si="55"/>
        <v>103.91645631400972</v>
      </c>
    </row>
    <row r="871" spans="1:25">
      <c r="A871" s="2" t="s">
        <v>11</v>
      </c>
      <c r="B871" s="2" t="s">
        <v>17</v>
      </c>
      <c r="C871" s="2">
        <v>4.5637342539620942</v>
      </c>
      <c r="D871" s="2">
        <v>92.380730600196728</v>
      </c>
      <c r="E871" s="2">
        <v>156.53157924466271</v>
      </c>
      <c r="J871" s="4">
        <v>1</v>
      </c>
      <c r="K871" s="4">
        <f t="shared" si="52"/>
        <v>7</v>
      </c>
      <c r="L871" s="4">
        <f t="shared" si="53"/>
        <v>6</v>
      </c>
      <c r="M871" s="4">
        <v>4.5637342539620942</v>
      </c>
      <c r="N871" s="4">
        <v>92.380730600196728</v>
      </c>
      <c r="O871" s="4">
        <v>156.53157924466271</v>
      </c>
      <c r="X871" s="22">
        <f t="shared" si="54"/>
        <v>192.22824504123548</v>
      </c>
      <c r="Y871" s="2">
        <f t="shared" si="55"/>
        <v>1274.2519489922086</v>
      </c>
    </row>
    <row r="872" spans="1:25">
      <c r="A872" s="2" t="s">
        <v>11</v>
      </c>
      <c r="B872" s="2" t="s">
        <v>13</v>
      </c>
      <c r="C872" s="2">
        <v>9.2358106156633895</v>
      </c>
      <c r="D872" s="2">
        <v>27.59884177975977</v>
      </c>
      <c r="E872" s="2">
        <v>161.67490999744899</v>
      </c>
      <c r="J872" s="4">
        <v>1</v>
      </c>
      <c r="K872" s="4">
        <f t="shared" si="52"/>
        <v>7</v>
      </c>
      <c r="L872" s="4">
        <f t="shared" si="53"/>
        <v>2</v>
      </c>
      <c r="M872" s="4">
        <v>9.2358106156633895</v>
      </c>
      <c r="N872" s="4">
        <v>27.59884177975977</v>
      </c>
      <c r="O872" s="4">
        <v>161.67490999744899</v>
      </c>
      <c r="X872" s="22">
        <f t="shared" si="54"/>
        <v>154.04616874445702</v>
      </c>
      <c r="Y872" s="2">
        <f t="shared" si="55"/>
        <v>58.197693105101521</v>
      </c>
    </row>
    <row r="873" spans="1:25">
      <c r="A873" s="2" t="s">
        <v>11</v>
      </c>
      <c r="B873" s="2" t="s">
        <v>16</v>
      </c>
      <c r="C873" s="2">
        <v>5.7972598052152593</v>
      </c>
      <c r="D873" s="2">
        <v>152.193026438484</v>
      </c>
      <c r="E873" s="2">
        <v>301.62450589532642</v>
      </c>
      <c r="J873" s="4">
        <v>1</v>
      </c>
      <c r="K873" s="4">
        <f t="shared" si="52"/>
        <v>7</v>
      </c>
      <c r="L873" s="4">
        <f t="shared" si="53"/>
        <v>5</v>
      </c>
      <c r="M873" s="4">
        <v>5.7972598052152593</v>
      </c>
      <c r="N873" s="4">
        <v>152.193026438484</v>
      </c>
      <c r="O873" s="4">
        <v>301.62450589532642</v>
      </c>
      <c r="X873" s="22">
        <f t="shared" si="54"/>
        <v>296.44392498306422</v>
      </c>
      <c r="Y873" s="2">
        <f t="shared" si="55"/>
        <v>26.838418588495458</v>
      </c>
    </row>
    <row r="874" spans="1:25">
      <c r="A874" s="2" t="s">
        <v>7</v>
      </c>
      <c r="B874" s="2" t="s">
        <v>14</v>
      </c>
      <c r="C874" s="2">
        <v>2.4215934055181321</v>
      </c>
      <c r="D874" s="2">
        <v>183.7642461312262</v>
      </c>
      <c r="E874" s="2">
        <v>310.44825517027539</v>
      </c>
      <c r="J874" s="4">
        <v>1</v>
      </c>
      <c r="K874" s="4">
        <f t="shared" si="52"/>
        <v>2</v>
      </c>
      <c r="L874" s="4">
        <f t="shared" si="53"/>
        <v>3</v>
      </c>
      <c r="M874" s="4">
        <v>2.4215934055181321</v>
      </c>
      <c r="N874" s="4">
        <v>183.7642461312262</v>
      </c>
      <c r="O874" s="4">
        <v>310.44825517027539</v>
      </c>
      <c r="X874" s="22">
        <f t="shared" si="54"/>
        <v>305.6038549715023</v>
      </c>
      <c r="Y874" s="2">
        <f t="shared" si="55"/>
        <v>23.468213285872725</v>
      </c>
    </row>
    <row r="875" spans="1:25">
      <c r="A875" s="2" t="s">
        <v>6</v>
      </c>
      <c r="B875" s="2" t="s">
        <v>13</v>
      </c>
      <c r="C875" s="2">
        <v>7.2630920635192222</v>
      </c>
      <c r="D875" s="2">
        <v>92.463984814664173</v>
      </c>
      <c r="E875" s="2">
        <v>223.32518907950421</v>
      </c>
      <c r="J875" s="4">
        <v>1</v>
      </c>
      <c r="K875" s="4">
        <f t="shared" si="52"/>
        <v>3</v>
      </c>
      <c r="L875" s="4">
        <f t="shared" si="53"/>
        <v>2</v>
      </c>
      <c r="M875" s="4">
        <v>7.2630920635192222</v>
      </c>
      <c r="N875" s="4">
        <v>92.463984814664173</v>
      </c>
      <c r="O875" s="4">
        <v>223.32518907950421</v>
      </c>
      <c r="X875" s="22">
        <f t="shared" si="54"/>
        <v>228.97527659292732</v>
      </c>
      <c r="Y875" s="2">
        <f t="shared" si="55"/>
        <v>31.923488909339657</v>
      </c>
    </row>
    <row r="876" spans="1:25">
      <c r="A876" s="2" t="s">
        <v>7</v>
      </c>
      <c r="B876" s="2" t="s">
        <v>13</v>
      </c>
      <c r="C876" s="2">
        <v>8.1393521539442908</v>
      </c>
      <c r="D876" s="2">
        <v>59.155212009533777</v>
      </c>
      <c r="E876" s="2">
        <v>166.97605145123251</v>
      </c>
      <c r="J876" s="4">
        <v>1</v>
      </c>
      <c r="K876" s="4">
        <f t="shared" si="52"/>
        <v>2</v>
      </c>
      <c r="L876" s="4">
        <f t="shared" si="53"/>
        <v>2</v>
      </c>
      <c r="M876" s="4">
        <v>8.1393521539442908</v>
      </c>
      <c r="N876" s="4">
        <v>59.155212009533777</v>
      </c>
      <c r="O876" s="4">
        <v>166.97605145123251</v>
      </c>
      <c r="X876" s="22">
        <f t="shared" si="54"/>
        <v>190.9723584605089</v>
      </c>
      <c r="Y876" s="2">
        <f t="shared" si="55"/>
        <v>575.82275008344732</v>
      </c>
    </row>
    <row r="877" spans="1:25">
      <c r="A877" s="2" t="s">
        <v>6</v>
      </c>
      <c r="B877" s="2" t="s">
        <v>14</v>
      </c>
      <c r="C877" s="2">
        <v>3.8508550936077399</v>
      </c>
      <c r="D877" s="2">
        <v>92.536630611255859</v>
      </c>
      <c r="E877" s="2">
        <v>166.62644478907811</v>
      </c>
      <c r="J877" s="4">
        <v>1</v>
      </c>
      <c r="K877" s="4">
        <f t="shared" si="52"/>
        <v>3</v>
      </c>
      <c r="L877" s="4">
        <f t="shared" si="53"/>
        <v>3</v>
      </c>
      <c r="M877" s="4">
        <v>3.8508550936077399</v>
      </c>
      <c r="N877" s="4">
        <v>92.536630611255859</v>
      </c>
      <c r="O877" s="4">
        <v>166.62644478907811</v>
      </c>
      <c r="X877" s="22">
        <f t="shared" si="54"/>
        <v>186.92497162468416</v>
      </c>
      <c r="Y877" s="2">
        <f t="shared" si="55"/>
        <v>412.03019169581916</v>
      </c>
    </row>
    <row r="878" spans="1:25">
      <c r="A878" s="2" t="s">
        <v>7</v>
      </c>
      <c r="B878" s="2" t="s">
        <v>15</v>
      </c>
      <c r="C878" s="2">
        <v>8.7146133129887779</v>
      </c>
      <c r="D878" s="2">
        <v>147.45508539150021</v>
      </c>
      <c r="E878" s="2">
        <v>351.62380004805891</v>
      </c>
      <c r="J878" s="4">
        <v>1</v>
      </c>
      <c r="K878" s="4">
        <f t="shared" si="52"/>
        <v>2</v>
      </c>
      <c r="L878" s="4">
        <f t="shared" si="53"/>
        <v>4</v>
      </c>
      <c r="M878" s="4">
        <v>8.7146133129887779</v>
      </c>
      <c r="N878" s="4">
        <v>147.45508539150021</v>
      </c>
      <c r="O878" s="4">
        <v>351.62380004805891</v>
      </c>
      <c r="X878" s="22">
        <f t="shared" si="54"/>
        <v>328.99962612357342</v>
      </c>
      <c r="Y878" s="2">
        <f t="shared" si="55"/>
        <v>511.85324576536919</v>
      </c>
    </row>
    <row r="879" spans="1:25">
      <c r="A879" s="2" t="s">
        <v>7</v>
      </c>
      <c r="B879" s="2" t="s">
        <v>13</v>
      </c>
      <c r="C879" s="2">
        <v>9.1552892928918972</v>
      </c>
      <c r="D879" s="2">
        <v>11.720290700270491</v>
      </c>
      <c r="E879" s="2">
        <v>65.084324599912804</v>
      </c>
      <c r="J879" s="4">
        <v>1</v>
      </c>
      <c r="K879" s="4">
        <f t="shared" si="52"/>
        <v>2</v>
      </c>
      <c r="L879" s="4">
        <f t="shared" si="53"/>
        <v>2</v>
      </c>
      <c r="M879" s="4">
        <v>9.1552892928918972</v>
      </c>
      <c r="N879" s="4">
        <v>11.720290700270491</v>
      </c>
      <c r="O879" s="4">
        <v>65.084324599912804</v>
      </c>
      <c r="X879" s="22">
        <f t="shared" si="54"/>
        <v>132.99018662370676</v>
      </c>
      <c r="Y879" s="2">
        <f t="shared" si="55"/>
        <v>4611.2060971945421</v>
      </c>
    </row>
    <row r="880" spans="1:25">
      <c r="A880" s="2" t="s">
        <v>10</v>
      </c>
      <c r="B880" s="2" t="s">
        <v>15</v>
      </c>
      <c r="C880" s="2">
        <v>3.4921403864002798</v>
      </c>
      <c r="D880" s="2">
        <v>121.9962580020925</v>
      </c>
      <c r="E880" s="2">
        <v>245.14075935154909</v>
      </c>
      <c r="J880" s="4">
        <v>1</v>
      </c>
      <c r="K880" s="4">
        <f t="shared" si="52"/>
        <v>6</v>
      </c>
      <c r="L880" s="4">
        <f t="shared" si="53"/>
        <v>4</v>
      </c>
      <c r="M880" s="4">
        <v>3.4921403864002798</v>
      </c>
      <c r="N880" s="4">
        <v>121.9962580020925</v>
      </c>
      <c r="O880" s="4">
        <v>245.14075935154909</v>
      </c>
      <c r="X880" s="22">
        <f t="shared" si="54"/>
        <v>224.02866956119567</v>
      </c>
      <c r="Y880" s="2">
        <f t="shared" si="55"/>
        <v>445.72033531594525</v>
      </c>
    </row>
    <row r="881" spans="1:25">
      <c r="A881" s="2" t="s">
        <v>8</v>
      </c>
      <c r="B881" s="2" t="s">
        <v>14</v>
      </c>
      <c r="C881" s="2">
        <v>9.8516932544369986</v>
      </c>
      <c r="D881" s="2">
        <v>126.52542012860199</v>
      </c>
      <c r="E881" s="2">
        <v>390.80113187062142</v>
      </c>
      <c r="J881" s="4">
        <v>1</v>
      </c>
      <c r="K881" s="4">
        <f t="shared" si="52"/>
        <v>4</v>
      </c>
      <c r="L881" s="4">
        <f t="shared" si="53"/>
        <v>3</v>
      </c>
      <c r="M881" s="4">
        <v>9.8516932544369986</v>
      </c>
      <c r="N881" s="4">
        <v>126.52542012860199</v>
      </c>
      <c r="O881" s="4">
        <v>390.80113187062142</v>
      </c>
      <c r="X881" s="22">
        <f t="shared" si="54"/>
        <v>310.62464301821706</v>
      </c>
      <c r="Y881" s="2">
        <f t="shared" si="55"/>
        <v>6428.2693646997204</v>
      </c>
    </row>
    <row r="882" spans="1:25">
      <c r="A882" s="2" t="s">
        <v>7</v>
      </c>
      <c r="B882" s="2" t="s">
        <v>15</v>
      </c>
      <c r="C882" s="2">
        <v>2.2664037524388259</v>
      </c>
      <c r="D882" s="2">
        <v>131.16076691022769</v>
      </c>
      <c r="E882" s="2">
        <v>263.90666076186841</v>
      </c>
      <c r="J882" s="4">
        <v>1</v>
      </c>
      <c r="K882" s="4">
        <f t="shared" si="52"/>
        <v>2</v>
      </c>
      <c r="L882" s="4">
        <f t="shared" si="53"/>
        <v>4</v>
      </c>
      <c r="M882" s="4">
        <v>2.2664037524388259</v>
      </c>
      <c r="N882" s="4">
        <v>131.16076691022769</v>
      </c>
      <c r="O882" s="4">
        <v>263.90666076186841</v>
      </c>
      <c r="X882" s="22">
        <f t="shared" si="54"/>
        <v>225.38001866505607</v>
      </c>
      <c r="Y882" s="2">
        <f t="shared" si="55"/>
        <v>1484.3021512558726</v>
      </c>
    </row>
    <row r="883" spans="1:25">
      <c r="A883" s="2" t="s">
        <v>10</v>
      </c>
      <c r="B883" s="2" t="s">
        <v>12</v>
      </c>
      <c r="C883" s="2">
        <v>2.8181410156224098</v>
      </c>
      <c r="D883" s="2">
        <v>55.98419519636667</v>
      </c>
      <c r="E883" s="2">
        <v>118.33916719054371</v>
      </c>
      <c r="J883" s="4">
        <v>1</v>
      </c>
      <c r="K883" s="4">
        <f t="shared" si="52"/>
        <v>6</v>
      </c>
      <c r="L883" s="4">
        <f t="shared" si="53"/>
        <v>1</v>
      </c>
      <c r="M883" s="4">
        <v>2.8181410156224098</v>
      </c>
      <c r="N883" s="4">
        <v>55.98419519636667</v>
      </c>
      <c r="O883" s="4">
        <v>118.33916719054371</v>
      </c>
      <c r="X883" s="22">
        <f t="shared" si="54"/>
        <v>118.04643834383796</v>
      </c>
      <c r="Y883" s="2">
        <f t="shared" si="55"/>
        <v>8.5690177693673972E-2</v>
      </c>
    </row>
    <row r="884" spans="1:25">
      <c r="A884" s="2" t="s">
        <v>9</v>
      </c>
      <c r="B884" s="2" t="s">
        <v>16</v>
      </c>
      <c r="C884" s="2">
        <v>2.6580235531422352</v>
      </c>
      <c r="D884" s="2">
        <v>145.6700174418441</v>
      </c>
      <c r="E884" s="2">
        <v>218.66574252944301</v>
      </c>
      <c r="J884" s="4">
        <v>1</v>
      </c>
      <c r="K884" s="4">
        <f t="shared" si="52"/>
        <v>5</v>
      </c>
      <c r="L884" s="4">
        <f t="shared" si="53"/>
        <v>5</v>
      </c>
      <c r="M884" s="4">
        <v>2.6580235531422352</v>
      </c>
      <c r="N884" s="4">
        <v>145.6700174418441</v>
      </c>
      <c r="O884" s="4">
        <v>218.66574252944301</v>
      </c>
      <c r="X884" s="22">
        <f t="shared" si="54"/>
        <v>249.50587439727545</v>
      </c>
      <c r="Y884" s="2">
        <f t="shared" si="55"/>
        <v>951.113733625294</v>
      </c>
    </row>
    <row r="885" spans="1:25">
      <c r="A885" s="2" t="s">
        <v>8</v>
      </c>
      <c r="B885" s="2" t="s">
        <v>13</v>
      </c>
      <c r="C885" s="2">
        <v>9.045907390070834</v>
      </c>
      <c r="D885" s="2">
        <v>27.364382403037521</v>
      </c>
      <c r="E885" s="2">
        <v>167.57289561886029</v>
      </c>
      <c r="J885" s="4">
        <v>1</v>
      </c>
      <c r="K885" s="4">
        <f t="shared" si="52"/>
        <v>4</v>
      </c>
      <c r="L885" s="4">
        <f t="shared" si="53"/>
        <v>2</v>
      </c>
      <c r="M885" s="4">
        <v>9.045907390070834</v>
      </c>
      <c r="N885" s="4">
        <v>27.364382403037521</v>
      </c>
      <c r="O885" s="4">
        <v>167.57289561886029</v>
      </c>
      <c r="X885" s="22">
        <f t="shared" si="54"/>
        <v>153.47876657496028</v>
      </c>
      <c r="Y885" s="2">
        <f t="shared" si="55"/>
        <v>198.64447350610584</v>
      </c>
    </row>
    <row r="886" spans="1:25">
      <c r="A886" s="2" t="s">
        <v>7</v>
      </c>
      <c r="B886" s="2" t="s">
        <v>17</v>
      </c>
      <c r="C886" s="2">
        <v>6.8886329709246574</v>
      </c>
      <c r="D886" s="2">
        <v>47.861363928692157</v>
      </c>
      <c r="E886" s="2">
        <v>143.81827917758429</v>
      </c>
      <c r="J886" s="4">
        <v>1</v>
      </c>
      <c r="K886" s="4">
        <f t="shared" si="52"/>
        <v>2</v>
      </c>
      <c r="L886" s="4">
        <f t="shared" si="53"/>
        <v>6</v>
      </c>
      <c r="M886" s="4">
        <v>6.8886329709246574</v>
      </c>
      <c r="N886" s="4">
        <v>47.861363928692157</v>
      </c>
      <c r="O886" s="4">
        <v>143.81827917758429</v>
      </c>
      <c r="X886" s="22">
        <f t="shared" si="54"/>
        <v>158.23027684192922</v>
      </c>
      <c r="Y886" s="2">
        <f t="shared" si="55"/>
        <v>207.70567667708394</v>
      </c>
    </row>
    <row r="887" spans="1:25">
      <c r="A887" s="2" t="s">
        <v>5</v>
      </c>
      <c r="B887" s="2" t="s">
        <v>16</v>
      </c>
      <c r="C887" s="2">
        <v>2.3689385490004562</v>
      </c>
      <c r="D887" s="2">
        <v>176.7193088643516</v>
      </c>
      <c r="E887" s="2">
        <v>280.75078513100158</v>
      </c>
      <c r="J887" s="4">
        <v>1</v>
      </c>
      <c r="K887" s="4">
        <f t="shared" si="52"/>
        <v>1</v>
      </c>
      <c r="L887" s="4">
        <f t="shared" si="53"/>
        <v>5</v>
      </c>
      <c r="M887" s="4">
        <v>2.3689385490004562</v>
      </c>
      <c r="N887" s="4">
        <v>176.7193088643516</v>
      </c>
      <c r="O887" s="4">
        <v>280.75078513100158</v>
      </c>
      <c r="X887" s="22">
        <f t="shared" si="54"/>
        <v>294.91416987906649</v>
      </c>
      <c r="Y887" s="2">
        <f t="shared" si="55"/>
        <v>200.60146752171781</v>
      </c>
    </row>
    <row r="888" spans="1:25">
      <c r="A888" s="2" t="s">
        <v>11</v>
      </c>
      <c r="B888" s="2" t="s">
        <v>15</v>
      </c>
      <c r="C888" s="2">
        <v>4.962910765315141</v>
      </c>
      <c r="D888" s="2">
        <v>150.35739863804761</v>
      </c>
      <c r="E888" s="2">
        <v>308.31393066657222</v>
      </c>
      <c r="J888" s="4">
        <v>1</v>
      </c>
      <c r="K888" s="4">
        <f t="shared" si="52"/>
        <v>7</v>
      </c>
      <c r="L888" s="4">
        <f t="shared" si="53"/>
        <v>4</v>
      </c>
      <c r="M888" s="4">
        <v>4.962910765315141</v>
      </c>
      <c r="N888" s="4">
        <v>150.35739863804761</v>
      </c>
      <c r="O888" s="4">
        <v>308.31393066657222</v>
      </c>
      <c r="X888" s="22">
        <f t="shared" si="54"/>
        <v>283.58082959366271</v>
      </c>
      <c r="Y888" s="2">
        <f t="shared" si="55"/>
        <v>611.72628868275729</v>
      </c>
    </row>
    <row r="889" spans="1:25">
      <c r="A889" s="2" t="s">
        <v>9</v>
      </c>
      <c r="B889" s="2" t="s">
        <v>13</v>
      </c>
      <c r="C889" s="2">
        <v>6.5376822256282194</v>
      </c>
      <c r="D889" s="2">
        <v>12.611655262155599</v>
      </c>
      <c r="E889" s="2">
        <v>88.357171037813544</v>
      </c>
      <c r="J889" s="4">
        <v>1</v>
      </c>
      <c r="K889" s="4">
        <f t="shared" si="52"/>
        <v>5</v>
      </c>
      <c r="L889" s="4">
        <f t="shared" si="53"/>
        <v>2</v>
      </c>
      <c r="M889" s="4">
        <v>6.5376822256282194</v>
      </c>
      <c r="N889" s="4">
        <v>12.611655262155599</v>
      </c>
      <c r="O889" s="4">
        <v>88.357171037813544</v>
      </c>
      <c r="X889" s="22">
        <f t="shared" si="54"/>
        <v>99.961476234178605</v>
      </c>
      <c r="Y889" s="2">
        <f t="shared" si="55"/>
        <v>134.65989909038515</v>
      </c>
    </row>
    <row r="890" spans="1:25">
      <c r="A890" s="2" t="s">
        <v>9</v>
      </c>
      <c r="B890" s="2" t="s">
        <v>15</v>
      </c>
      <c r="C890" s="2">
        <v>1.7511767649044501</v>
      </c>
      <c r="D890" s="2">
        <v>57.191489470262042</v>
      </c>
      <c r="E890" s="2">
        <v>93.904364473773001</v>
      </c>
      <c r="J890" s="4">
        <v>1</v>
      </c>
      <c r="K890" s="4">
        <f t="shared" si="52"/>
        <v>5</v>
      </c>
      <c r="L890" s="4">
        <f t="shared" si="53"/>
        <v>4</v>
      </c>
      <c r="M890" s="4">
        <v>1.7511767649044501</v>
      </c>
      <c r="N890" s="4">
        <v>57.191489470262042</v>
      </c>
      <c r="O890" s="4">
        <v>93.904364473773001</v>
      </c>
      <c r="X890" s="22">
        <f t="shared" si="54"/>
        <v>106.99070270978849</v>
      </c>
      <c r="Y890" s="2">
        <f t="shared" si="55"/>
        <v>171.25224842740107</v>
      </c>
    </row>
    <row r="891" spans="1:25">
      <c r="A891" s="2" t="s">
        <v>10</v>
      </c>
      <c r="B891" s="2" t="s">
        <v>12</v>
      </c>
      <c r="C891" s="2">
        <v>8.9417473156660492</v>
      </c>
      <c r="D891" s="2">
        <v>50.737231768701257</v>
      </c>
      <c r="E891" s="2">
        <v>178.60695033453371</v>
      </c>
      <c r="J891" s="4">
        <v>1</v>
      </c>
      <c r="K891" s="4">
        <f t="shared" si="52"/>
        <v>6</v>
      </c>
      <c r="L891" s="4">
        <f t="shared" si="53"/>
        <v>1</v>
      </c>
      <c r="M891" s="4">
        <v>8.9417473156660492</v>
      </c>
      <c r="N891" s="4">
        <v>50.737231768701257</v>
      </c>
      <c r="O891" s="4">
        <v>178.60695033453371</v>
      </c>
      <c r="X891" s="22">
        <f t="shared" si="54"/>
        <v>185.65647876920937</v>
      </c>
      <c r="Y891" s="2">
        <f t="shared" si="55"/>
        <v>49.695851151300729</v>
      </c>
    </row>
    <row r="892" spans="1:25">
      <c r="A892" s="2" t="s">
        <v>9</v>
      </c>
      <c r="B892" s="2" t="s">
        <v>14</v>
      </c>
      <c r="C892" s="2">
        <v>8.2324318189738168</v>
      </c>
      <c r="D892" s="2">
        <v>61.45320232702479</v>
      </c>
      <c r="E892" s="2">
        <v>177.92869023840461</v>
      </c>
      <c r="J892" s="4">
        <v>1</v>
      </c>
      <c r="K892" s="4">
        <f t="shared" si="52"/>
        <v>5</v>
      </c>
      <c r="L892" s="4">
        <f t="shared" si="53"/>
        <v>3</v>
      </c>
      <c r="M892" s="4">
        <v>8.2324318189738168</v>
      </c>
      <c r="N892" s="4">
        <v>61.45320232702479</v>
      </c>
      <c r="O892" s="4">
        <v>177.92869023840461</v>
      </c>
      <c r="X892" s="22">
        <f t="shared" si="54"/>
        <v>193.27486528377744</v>
      </c>
      <c r="Y892" s="2">
        <f t="shared" si="55"/>
        <v>235.50508852322383</v>
      </c>
    </row>
    <row r="893" spans="1:25">
      <c r="A893" s="2" t="s">
        <v>8</v>
      </c>
      <c r="B893" s="2" t="s">
        <v>13</v>
      </c>
      <c r="C893" s="2">
        <v>5.5468609621897436</v>
      </c>
      <c r="D893" s="2">
        <v>57.036356353178419</v>
      </c>
      <c r="E893" s="2">
        <v>187.97989241396439</v>
      </c>
      <c r="J893" s="4">
        <v>1</v>
      </c>
      <c r="K893" s="4">
        <f t="shared" si="52"/>
        <v>4</v>
      </c>
      <c r="L893" s="4">
        <f t="shared" si="53"/>
        <v>2</v>
      </c>
      <c r="M893" s="4">
        <v>5.5468609621897436</v>
      </c>
      <c r="N893" s="4">
        <v>57.036356353178419</v>
      </c>
      <c r="O893" s="4">
        <v>187.97989241396439</v>
      </c>
      <c r="X893" s="22">
        <f t="shared" si="54"/>
        <v>154.48597939386963</v>
      </c>
      <c r="Y893" s="2">
        <f t="shared" si="55"/>
        <v>1121.8422093976737</v>
      </c>
    </row>
    <row r="894" spans="1:25">
      <c r="A894" s="2" t="s">
        <v>7</v>
      </c>
      <c r="B894" s="2" t="s">
        <v>12</v>
      </c>
      <c r="C894" s="2">
        <v>9.7041395373325336</v>
      </c>
      <c r="D894" s="2">
        <v>21.879996191140691</v>
      </c>
      <c r="E894" s="2">
        <v>104.4000007032181</v>
      </c>
      <c r="J894" s="4">
        <v>1</v>
      </c>
      <c r="K894" s="4">
        <f t="shared" si="52"/>
        <v>2</v>
      </c>
      <c r="L894" s="4">
        <f t="shared" si="53"/>
        <v>1</v>
      </c>
      <c r="M894" s="4">
        <v>9.7041395373325336</v>
      </c>
      <c r="N894" s="4">
        <v>21.879996191140691</v>
      </c>
      <c r="O894" s="4">
        <v>104.4000007032181</v>
      </c>
      <c r="X894" s="22">
        <f t="shared" si="54"/>
        <v>154.98629765940683</v>
      </c>
      <c r="Y894" s="2">
        <f t="shared" si="55"/>
        <v>2558.9734397397096</v>
      </c>
    </row>
    <row r="895" spans="1:25">
      <c r="A895" s="2" t="s">
        <v>7</v>
      </c>
      <c r="B895" s="2" t="s">
        <v>12</v>
      </c>
      <c r="C895" s="2">
        <v>4.7598488134758972</v>
      </c>
      <c r="D895" s="2">
        <v>97.198698153395867</v>
      </c>
      <c r="E895" s="2">
        <v>225.881730805621</v>
      </c>
      <c r="J895" s="4">
        <v>1</v>
      </c>
      <c r="K895" s="4">
        <f t="shared" si="52"/>
        <v>2</v>
      </c>
      <c r="L895" s="4">
        <f t="shared" si="53"/>
        <v>1</v>
      </c>
      <c r="M895" s="4">
        <v>4.7598488134758972</v>
      </c>
      <c r="N895" s="4">
        <v>97.198698153395867</v>
      </c>
      <c r="O895" s="4">
        <v>225.881730805621</v>
      </c>
      <c r="X895" s="22">
        <f t="shared" si="54"/>
        <v>206.03167444625939</v>
      </c>
      <c r="Y895" s="2">
        <f t="shared" si="55"/>
        <v>394.02473746983253</v>
      </c>
    </row>
    <row r="896" spans="1:25">
      <c r="A896" s="2" t="s">
        <v>5</v>
      </c>
      <c r="B896" s="2" t="s">
        <v>13</v>
      </c>
      <c r="C896" s="2">
        <v>9.8569928713284796</v>
      </c>
      <c r="D896" s="2">
        <v>149.21936020937139</v>
      </c>
      <c r="E896" s="2">
        <v>430.96979171291667</v>
      </c>
      <c r="J896" s="4">
        <v>1</v>
      </c>
      <c r="K896" s="4">
        <f t="shared" si="52"/>
        <v>1</v>
      </c>
      <c r="L896" s="4">
        <f t="shared" si="53"/>
        <v>2</v>
      </c>
      <c r="M896" s="4">
        <v>9.8569928713284796</v>
      </c>
      <c r="N896" s="4">
        <v>149.21936020937139</v>
      </c>
      <c r="O896" s="4">
        <v>430.96979171291667</v>
      </c>
      <c r="X896" s="22">
        <f t="shared" si="54"/>
        <v>346.67390975921614</v>
      </c>
      <c r="Y896" s="2">
        <f t="shared" si="55"/>
        <v>7105.7957143522144</v>
      </c>
    </row>
    <row r="897" spans="1:25">
      <c r="A897" s="2" t="s">
        <v>11</v>
      </c>
      <c r="B897" s="2" t="s">
        <v>15</v>
      </c>
      <c r="C897" s="2">
        <v>7.0112799892326434</v>
      </c>
      <c r="D897" s="2">
        <v>125.27902769631289</v>
      </c>
      <c r="E897" s="2">
        <v>300.99411490334069</v>
      </c>
      <c r="J897" s="4">
        <v>1</v>
      </c>
      <c r="K897" s="4">
        <f t="shared" si="52"/>
        <v>7</v>
      </c>
      <c r="L897" s="4">
        <f t="shared" si="53"/>
        <v>4</v>
      </c>
      <c r="M897" s="4">
        <v>7.0112799892326434</v>
      </c>
      <c r="N897" s="4">
        <v>125.27902769631289</v>
      </c>
      <c r="O897" s="4">
        <v>300.99411490334069</v>
      </c>
      <c r="X897" s="22">
        <f t="shared" si="54"/>
        <v>271.53615735535465</v>
      </c>
      <c r="Y897" s="2">
        <f t="shared" si="55"/>
        <v>867.77126289894773</v>
      </c>
    </row>
    <row r="898" spans="1:25">
      <c r="A898" s="2" t="s">
        <v>10</v>
      </c>
      <c r="B898" s="2" t="s">
        <v>17</v>
      </c>
      <c r="C898" s="2">
        <v>6.7120414592854729</v>
      </c>
      <c r="D898" s="2">
        <v>137.84561703363519</v>
      </c>
      <c r="E898" s="2">
        <v>313.04647778968149</v>
      </c>
      <c r="J898" s="4">
        <v>1</v>
      </c>
      <c r="K898" s="4">
        <f t="shared" si="52"/>
        <v>6</v>
      </c>
      <c r="L898" s="4">
        <f t="shared" si="53"/>
        <v>6</v>
      </c>
      <c r="M898" s="4">
        <v>6.7120414592854729</v>
      </c>
      <c r="N898" s="4">
        <v>137.84561703363519</v>
      </c>
      <c r="O898" s="4">
        <v>313.04647778968149</v>
      </c>
      <c r="X898" s="22">
        <f t="shared" si="54"/>
        <v>286.95451671740477</v>
      </c>
      <c r="Y898" s="2">
        <f t="shared" si="55"/>
        <v>680.79043259720356</v>
      </c>
    </row>
    <row r="899" spans="1:25">
      <c r="A899" s="2" t="s">
        <v>11</v>
      </c>
      <c r="B899" s="2" t="s">
        <v>12</v>
      </c>
      <c r="C899" s="2">
        <v>2.4935940576620652</v>
      </c>
      <c r="D899" s="2">
        <v>25.418343921885441</v>
      </c>
      <c r="E899" s="2">
        <v>61.183246840569772</v>
      </c>
      <c r="J899" s="4">
        <v>1</v>
      </c>
      <c r="K899" s="4">
        <f t="shared" si="52"/>
        <v>7</v>
      </c>
      <c r="L899" s="4">
        <f t="shared" si="53"/>
        <v>1</v>
      </c>
      <c r="M899" s="4">
        <v>2.4935940576620652</v>
      </c>
      <c r="N899" s="4">
        <v>25.418343921885441</v>
      </c>
      <c r="O899" s="4">
        <v>61.183246840569772</v>
      </c>
      <c r="X899" s="22">
        <f t="shared" si="54"/>
        <v>67.919711323916431</v>
      </c>
      <c r="Y899" s="2">
        <f t="shared" si="55"/>
        <v>45.379953735390963</v>
      </c>
    </row>
    <row r="900" spans="1:25">
      <c r="A900" s="2" t="s">
        <v>9</v>
      </c>
      <c r="B900" s="2" t="s">
        <v>16</v>
      </c>
      <c r="C900" s="2">
        <v>8.937349824741796</v>
      </c>
      <c r="D900" s="2">
        <v>190.7832349335896</v>
      </c>
      <c r="E900" s="2">
        <v>353.72785242128248</v>
      </c>
      <c r="J900" s="4">
        <v>1</v>
      </c>
      <c r="K900" s="4">
        <f t="shared" ref="K900:K963" si="56">VLOOKUP(A900, $F$3:$G$9, 2, FALSE)</f>
        <v>5</v>
      </c>
      <c r="L900" s="4">
        <f t="shared" ref="L900:L963" si="57">VLOOKUP(B900, $H$3:$I$8, 2, FALSE)</f>
        <v>5</v>
      </c>
      <c r="M900" s="4">
        <v>8.937349824741796</v>
      </c>
      <c r="N900" s="4">
        <v>190.7832349335896</v>
      </c>
      <c r="O900" s="4">
        <v>353.72785242128248</v>
      </c>
      <c r="X900" s="22">
        <f t="shared" ref="X900:X963" si="58">$U$16+$U$17*K900+$U$18*L900+$U$19*M900+$U$20*N900</f>
        <v>393.87334951994069</v>
      </c>
      <c r="Y900" s="2">
        <f t="shared" ref="Y900:Y963" si="59">POWER(O900-X900,2)</f>
        <v>1611.6609372983748</v>
      </c>
    </row>
    <row r="901" spans="1:25">
      <c r="A901" s="2" t="s">
        <v>5</v>
      </c>
      <c r="B901" s="2" t="s">
        <v>12</v>
      </c>
      <c r="C901" s="2">
        <v>4.8474071912855363</v>
      </c>
      <c r="D901" s="2">
        <v>169.3134484301747</v>
      </c>
      <c r="E901" s="2">
        <v>297.35275890253081</v>
      </c>
      <c r="J901" s="4">
        <v>1</v>
      </c>
      <c r="K901" s="4">
        <f t="shared" si="56"/>
        <v>1</v>
      </c>
      <c r="L901" s="4">
        <f t="shared" si="57"/>
        <v>1</v>
      </c>
      <c r="M901" s="4">
        <v>4.8474071912855363</v>
      </c>
      <c r="N901" s="4">
        <v>169.3134484301747</v>
      </c>
      <c r="O901" s="4">
        <v>297.35275890253081</v>
      </c>
      <c r="X901" s="22">
        <f t="shared" si="58"/>
        <v>314.98555609960908</v>
      </c>
      <c r="Y901" s="2">
        <f t="shared" si="59"/>
        <v>310.91553699329148</v>
      </c>
    </row>
    <row r="902" spans="1:25">
      <c r="A902" s="2" t="s">
        <v>11</v>
      </c>
      <c r="B902" s="2" t="s">
        <v>17</v>
      </c>
      <c r="C902" s="2">
        <v>2.4601006520423141</v>
      </c>
      <c r="D902" s="2">
        <v>162.9671605141759</v>
      </c>
      <c r="E902" s="2">
        <v>256.38428302865009</v>
      </c>
      <c r="J902" s="4">
        <v>1</v>
      </c>
      <c r="K902" s="4">
        <f t="shared" si="56"/>
        <v>7</v>
      </c>
      <c r="L902" s="4">
        <f t="shared" si="57"/>
        <v>6</v>
      </c>
      <c r="M902" s="4">
        <v>2.4601006520423141</v>
      </c>
      <c r="N902" s="4">
        <v>162.9671605141759</v>
      </c>
      <c r="O902" s="4">
        <v>256.38428302865009</v>
      </c>
      <c r="X902" s="22">
        <f t="shared" si="58"/>
        <v>271.22154198537703</v>
      </c>
      <c r="Y902" s="2">
        <f t="shared" si="59"/>
        <v>220.14425334897385</v>
      </c>
    </row>
    <row r="903" spans="1:25">
      <c r="A903" s="2" t="s">
        <v>8</v>
      </c>
      <c r="B903" s="2" t="s">
        <v>15</v>
      </c>
      <c r="C903" s="2">
        <v>1.113467679781831</v>
      </c>
      <c r="D903" s="2">
        <v>166.3669229579358</v>
      </c>
      <c r="E903" s="2">
        <v>235.9826579327345</v>
      </c>
      <c r="J903" s="4">
        <v>1</v>
      </c>
      <c r="K903" s="4">
        <f t="shared" si="56"/>
        <v>4</v>
      </c>
      <c r="L903" s="4">
        <f t="shared" si="57"/>
        <v>4</v>
      </c>
      <c r="M903" s="4">
        <v>1.113467679781831</v>
      </c>
      <c r="N903" s="4">
        <v>166.3669229579358</v>
      </c>
      <c r="O903" s="4">
        <v>235.9826579327345</v>
      </c>
      <c r="X903" s="22">
        <f t="shared" si="58"/>
        <v>262.08905772241036</v>
      </c>
      <c r="Y903" s="2">
        <f t="shared" si="59"/>
        <v>681.54410997838795</v>
      </c>
    </row>
    <row r="904" spans="1:25">
      <c r="A904" s="2" t="s">
        <v>7</v>
      </c>
      <c r="B904" s="2" t="s">
        <v>15</v>
      </c>
      <c r="C904" s="2">
        <v>6.0378011527454429</v>
      </c>
      <c r="D904" s="2">
        <v>187.21499654522469</v>
      </c>
      <c r="E904" s="2">
        <v>343.1506571382119</v>
      </c>
      <c r="J904" s="4">
        <v>1</v>
      </c>
      <c r="K904" s="4">
        <f t="shared" si="56"/>
        <v>2</v>
      </c>
      <c r="L904" s="4">
        <f t="shared" si="57"/>
        <v>4</v>
      </c>
      <c r="M904" s="4">
        <v>6.0378011527454429</v>
      </c>
      <c r="N904" s="4">
        <v>187.21499654522469</v>
      </c>
      <c r="O904" s="4">
        <v>343.1506571382119</v>
      </c>
      <c r="X904" s="22">
        <f t="shared" si="58"/>
        <v>355.12362570682467</v>
      </c>
      <c r="Y904" s="2">
        <f t="shared" si="59"/>
        <v>143.35197634498934</v>
      </c>
    </row>
    <row r="905" spans="1:25">
      <c r="A905" s="2" t="s">
        <v>9</v>
      </c>
      <c r="B905" s="2" t="s">
        <v>16</v>
      </c>
      <c r="C905" s="2">
        <v>5.7465965991040866</v>
      </c>
      <c r="D905" s="2">
        <v>113.40825356160261</v>
      </c>
      <c r="E905" s="2">
        <v>215.99243359333619</v>
      </c>
      <c r="J905" s="4">
        <v>1</v>
      </c>
      <c r="K905" s="4">
        <f t="shared" si="56"/>
        <v>5</v>
      </c>
      <c r="L905" s="4">
        <f t="shared" si="57"/>
        <v>5</v>
      </c>
      <c r="M905" s="4">
        <v>5.7465965991040866</v>
      </c>
      <c r="N905" s="4">
        <v>113.40825356160261</v>
      </c>
      <c r="O905" s="4">
        <v>215.99243359333619</v>
      </c>
      <c r="X905" s="22">
        <f t="shared" si="58"/>
        <v>239.5953308362769</v>
      </c>
      <c r="Y905" s="2">
        <f t="shared" si="59"/>
        <v>557.09675826081832</v>
      </c>
    </row>
    <row r="906" spans="1:25">
      <c r="A906" s="2" t="s">
        <v>5</v>
      </c>
      <c r="B906" s="2" t="s">
        <v>12</v>
      </c>
      <c r="C906" s="2">
        <v>7.4741826013224273</v>
      </c>
      <c r="D906" s="2">
        <v>48.053583394848921</v>
      </c>
      <c r="E906" s="2">
        <v>219.56120857810879</v>
      </c>
      <c r="J906" s="4">
        <v>1</v>
      </c>
      <c r="K906" s="4">
        <f t="shared" si="56"/>
        <v>1</v>
      </c>
      <c r="L906" s="4">
        <f t="shared" si="57"/>
        <v>1</v>
      </c>
      <c r="M906" s="4">
        <v>7.4741826013224273</v>
      </c>
      <c r="N906" s="4">
        <v>48.053583394848921</v>
      </c>
      <c r="O906" s="4">
        <v>219.56120857810879</v>
      </c>
      <c r="X906" s="22">
        <f t="shared" si="58"/>
        <v>167.1289615875032</v>
      </c>
      <c r="Y906" s="2">
        <f t="shared" si="59"/>
        <v>2749.1405244838693</v>
      </c>
    </row>
    <row r="907" spans="1:25">
      <c r="A907" s="2" t="s">
        <v>11</v>
      </c>
      <c r="B907" s="2" t="s">
        <v>15</v>
      </c>
      <c r="C907" s="2">
        <v>9.0123224771602199</v>
      </c>
      <c r="D907" s="2">
        <v>127.1888854919828</v>
      </c>
      <c r="E907" s="2">
        <v>245.14886930368189</v>
      </c>
      <c r="J907" s="4">
        <v>1</v>
      </c>
      <c r="K907" s="4">
        <f t="shared" si="56"/>
        <v>7</v>
      </c>
      <c r="L907" s="4">
        <f t="shared" si="57"/>
        <v>4</v>
      </c>
      <c r="M907" s="4">
        <v>9.0123224771602199</v>
      </c>
      <c r="N907" s="4">
        <v>127.1888854919828</v>
      </c>
      <c r="O907" s="4">
        <v>245.14886930368189</v>
      </c>
      <c r="X907" s="22">
        <f t="shared" si="58"/>
        <v>299.01568394312659</v>
      </c>
      <c r="Y907" s="2">
        <f t="shared" si="59"/>
        <v>2901.6337194002936</v>
      </c>
    </row>
    <row r="908" spans="1:25">
      <c r="A908" s="2" t="s">
        <v>10</v>
      </c>
      <c r="B908" s="2" t="s">
        <v>17</v>
      </c>
      <c r="C908" s="2">
        <v>1.714659261787266</v>
      </c>
      <c r="D908" s="2">
        <v>151.1474837969084</v>
      </c>
      <c r="E908" s="2">
        <v>273.44866436234128</v>
      </c>
      <c r="J908" s="4">
        <v>1</v>
      </c>
      <c r="K908" s="4">
        <f t="shared" si="56"/>
        <v>6</v>
      </c>
      <c r="L908" s="4">
        <f t="shared" si="57"/>
        <v>6</v>
      </c>
      <c r="M908" s="4">
        <v>1.714659261787266</v>
      </c>
      <c r="N908" s="4">
        <v>151.1474837969084</v>
      </c>
      <c r="O908" s="4">
        <v>273.44866436234128</v>
      </c>
      <c r="X908" s="22">
        <f t="shared" si="58"/>
        <v>245.18338912038834</v>
      </c>
      <c r="Y908" s="2">
        <f t="shared" si="59"/>
        <v>798.92578450335759</v>
      </c>
    </row>
    <row r="909" spans="1:25">
      <c r="A909" s="2" t="s">
        <v>8</v>
      </c>
      <c r="B909" s="2" t="s">
        <v>13</v>
      </c>
      <c r="C909" s="2">
        <v>7.5834684130632608</v>
      </c>
      <c r="D909" s="2">
        <v>150.20430473726481</v>
      </c>
      <c r="E909" s="2">
        <v>240.4480179464594</v>
      </c>
      <c r="J909" s="4">
        <v>1</v>
      </c>
      <c r="K909" s="4">
        <f t="shared" si="56"/>
        <v>4</v>
      </c>
      <c r="L909" s="4">
        <f t="shared" si="57"/>
        <v>2</v>
      </c>
      <c r="M909" s="4">
        <v>7.5834684130632608</v>
      </c>
      <c r="N909" s="4">
        <v>150.20430473726481</v>
      </c>
      <c r="O909" s="4">
        <v>240.4480179464594</v>
      </c>
      <c r="X909" s="22">
        <f t="shared" si="58"/>
        <v>318.02138100956017</v>
      </c>
      <c r="Y909" s="2">
        <f t="shared" si="59"/>
        <v>6017.6266569196468</v>
      </c>
    </row>
    <row r="910" spans="1:25">
      <c r="A910" s="2" t="s">
        <v>8</v>
      </c>
      <c r="B910" s="2" t="s">
        <v>14</v>
      </c>
      <c r="C910" s="2">
        <v>2.6867074968782401</v>
      </c>
      <c r="D910" s="2">
        <v>109.0753145917072</v>
      </c>
      <c r="E910" s="2">
        <v>213.2753338627507</v>
      </c>
      <c r="J910" s="4">
        <v>1</v>
      </c>
      <c r="K910" s="4">
        <f t="shared" si="56"/>
        <v>4</v>
      </c>
      <c r="L910" s="4">
        <f t="shared" si="57"/>
        <v>3</v>
      </c>
      <c r="M910" s="4">
        <v>2.6867074968782401</v>
      </c>
      <c r="N910" s="4">
        <v>109.0753145917072</v>
      </c>
      <c r="O910" s="4">
        <v>213.2753338627507</v>
      </c>
      <c r="X910" s="22">
        <f t="shared" si="58"/>
        <v>196.46088100146852</v>
      </c>
      <c r="Y910" s="2">
        <f t="shared" si="59"/>
        <v>282.72582502428043</v>
      </c>
    </row>
    <row r="911" spans="1:25">
      <c r="A911" s="2" t="s">
        <v>11</v>
      </c>
      <c r="B911" s="2" t="s">
        <v>14</v>
      </c>
      <c r="C911" s="2">
        <v>8.7235934784144753</v>
      </c>
      <c r="D911" s="2">
        <v>23.007156673379829</v>
      </c>
      <c r="E911" s="2">
        <v>176.22412145413571</v>
      </c>
      <c r="J911" s="4">
        <v>1</v>
      </c>
      <c r="K911" s="4">
        <f t="shared" si="56"/>
        <v>7</v>
      </c>
      <c r="L911" s="4">
        <f t="shared" si="57"/>
        <v>3</v>
      </c>
      <c r="M911" s="4">
        <v>8.7235934784144753</v>
      </c>
      <c r="N911" s="4">
        <v>23.007156673379829</v>
      </c>
      <c r="O911" s="4">
        <v>176.22412145413571</v>
      </c>
      <c r="X911" s="22">
        <f t="shared" si="58"/>
        <v>140.77575694071066</v>
      </c>
      <c r="Y911" s="2">
        <f t="shared" si="59"/>
        <v>1256.5865466766522</v>
      </c>
    </row>
    <row r="912" spans="1:25">
      <c r="A912" s="2" t="s">
        <v>7</v>
      </c>
      <c r="B912" s="2" t="s">
        <v>14</v>
      </c>
      <c r="C912" s="2">
        <v>8.371571624754905</v>
      </c>
      <c r="D912" s="2">
        <v>80.511458301724289</v>
      </c>
      <c r="E912" s="2">
        <v>210.55829367851709</v>
      </c>
      <c r="J912" s="4">
        <v>1</v>
      </c>
      <c r="K912" s="4">
        <f t="shared" si="56"/>
        <v>2</v>
      </c>
      <c r="L912" s="4">
        <f t="shared" si="57"/>
        <v>3</v>
      </c>
      <c r="M912" s="4">
        <v>8.371571624754905</v>
      </c>
      <c r="N912" s="4">
        <v>80.511458301724289</v>
      </c>
      <c r="O912" s="4">
        <v>210.55829367851709</v>
      </c>
      <c r="X912" s="22">
        <f t="shared" si="58"/>
        <v>225.4301257091727</v>
      </c>
      <c r="Y912" s="2">
        <f t="shared" si="59"/>
        <v>221.17138794803418</v>
      </c>
    </row>
    <row r="913" spans="1:25">
      <c r="A913" s="2" t="s">
        <v>11</v>
      </c>
      <c r="B913" s="2" t="s">
        <v>12</v>
      </c>
      <c r="C913" s="2">
        <v>5.8671437948698992</v>
      </c>
      <c r="D913" s="2">
        <v>184.9456556080379</v>
      </c>
      <c r="E913" s="2">
        <v>259.04127574583242</v>
      </c>
      <c r="J913" s="4">
        <v>1</v>
      </c>
      <c r="K913" s="4">
        <f t="shared" si="56"/>
        <v>7</v>
      </c>
      <c r="L913" s="4">
        <f t="shared" si="57"/>
        <v>1</v>
      </c>
      <c r="M913" s="4">
        <v>5.8671437948698992</v>
      </c>
      <c r="N913" s="4">
        <v>184.9456556080379</v>
      </c>
      <c r="O913" s="4">
        <v>259.04127574583242</v>
      </c>
      <c r="X913" s="22">
        <f t="shared" si="58"/>
        <v>346.53465089422383</v>
      </c>
      <c r="Y913" s="2">
        <f t="shared" si="59"/>
        <v>7655.0906948571555</v>
      </c>
    </row>
    <row r="914" spans="1:25">
      <c r="A914" s="2" t="s">
        <v>9</v>
      </c>
      <c r="B914" s="2" t="s">
        <v>16</v>
      </c>
      <c r="C914" s="2">
        <v>7.3921851876098037</v>
      </c>
      <c r="D914" s="2">
        <v>121.04529285391099</v>
      </c>
      <c r="E914" s="2">
        <v>264.04907153877417</v>
      </c>
      <c r="J914" s="4">
        <v>1</v>
      </c>
      <c r="K914" s="4">
        <f t="shared" si="56"/>
        <v>5</v>
      </c>
      <c r="L914" s="4">
        <f t="shared" si="57"/>
        <v>5</v>
      </c>
      <c r="M914" s="4">
        <v>7.3921851876098037</v>
      </c>
      <c r="N914" s="4">
        <v>121.04529285391099</v>
      </c>
      <c r="O914" s="4">
        <v>264.04907153877417</v>
      </c>
      <c r="X914" s="22">
        <f t="shared" si="58"/>
        <v>271.20883420775465</v>
      </c>
      <c r="Y914" s="2">
        <f t="shared" si="59"/>
        <v>51.262201476126442</v>
      </c>
    </row>
    <row r="915" spans="1:25">
      <c r="A915" s="2" t="s">
        <v>11</v>
      </c>
      <c r="B915" s="2" t="s">
        <v>15</v>
      </c>
      <c r="C915" s="2">
        <v>3.829151018653735</v>
      </c>
      <c r="D915" s="2">
        <v>112.2830692185856</v>
      </c>
      <c r="E915" s="2">
        <v>254.06140282281419</v>
      </c>
      <c r="J915" s="4">
        <v>1</v>
      </c>
      <c r="K915" s="4">
        <f t="shared" si="56"/>
        <v>7</v>
      </c>
      <c r="L915" s="4">
        <f t="shared" si="57"/>
        <v>4</v>
      </c>
      <c r="M915" s="4">
        <v>3.829151018653735</v>
      </c>
      <c r="N915" s="4">
        <v>112.2830692185856</v>
      </c>
      <c r="O915" s="4">
        <v>254.06140282281419</v>
      </c>
      <c r="X915" s="22">
        <f t="shared" si="58"/>
        <v>213.03749166738277</v>
      </c>
      <c r="Y915" s="2">
        <f t="shared" si="59"/>
        <v>1682.9612864887306</v>
      </c>
    </row>
    <row r="916" spans="1:25">
      <c r="A916" s="2" t="s">
        <v>8</v>
      </c>
      <c r="B916" s="2" t="s">
        <v>13</v>
      </c>
      <c r="C916" s="2">
        <v>5.2405110903953318</v>
      </c>
      <c r="D916" s="2">
        <v>61.082167732616767</v>
      </c>
      <c r="E916" s="2">
        <v>152.48674963388569</v>
      </c>
      <c r="J916" s="4">
        <v>1</v>
      </c>
      <c r="K916" s="4">
        <f t="shared" si="56"/>
        <v>4</v>
      </c>
      <c r="L916" s="4">
        <f t="shared" si="57"/>
        <v>2</v>
      </c>
      <c r="M916" s="4">
        <v>5.2405110903953318</v>
      </c>
      <c r="N916" s="4">
        <v>61.082167732616767</v>
      </c>
      <c r="O916" s="4">
        <v>152.48674963388569</v>
      </c>
      <c r="X916" s="22">
        <f t="shared" si="58"/>
        <v>156.72596387682415</v>
      </c>
      <c r="Y916" s="2">
        <f t="shared" si="59"/>
        <v>17.970937397532293</v>
      </c>
    </row>
    <row r="917" spans="1:25">
      <c r="A917" s="2" t="s">
        <v>5</v>
      </c>
      <c r="B917" s="2" t="s">
        <v>17</v>
      </c>
      <c r="C917" s="2">
        <v>8.3947320793942453</v>
      </c>
      <c r="D917" s="2">
        <v>80.005294784149996</v>
      </c>
      <c r="E917" s="2">
        <v>284.8725976191551</v>
      </c>
      <c r="J917" s="4">
        <v>1</v>
      </c>
      <c r="K917" s="4">
        <f t="shared" si="56"/>
        <v>1</v>
      </c>
      <c r="L917" s="4">
        <f t="shared" si="57"/>
        <v>6</v>
      </c>
      <c r="M917" s="4">
        <v>8.3947320793942453</v>
      </c>
      <c r="N917" s="4">
        <v>80.005294784149996</v>
      </c>
      <c r="O917" s="4">
        <v>284.8725976191551</v>
      </c>
      <c r="X917" s="22">
        <f t="shared" si="58"/>
        <v>225.25208305888367</v>
      </c>
      <c r="Y917" s="2">
        <f t="shared" si="59"/>
        <v>3554.6057564315379</v>
      </c>
    </row>
    <row r="918" spans="1:25">
      <c r="A918" s="2" t="s">
        <v>11</v>
      </c>
      <c r="B918" s="2" t="s">
        <v>13</v>
      </c>
      <c r="C918" s="2">
        <v>5.1333867745589252</v>
      </c>
      <c r="D918" s="2">
        <v>180.1157569391022</v>
      </c>
      <c r="E918" s="2">
        <v>312.81956273293338</v>
      </c>
      <c r="J918" s="4">
        <v>1</v>
      </c>
      <c r="K918" s="4">
        <f t="shared" si="56"/>
        <v>7</v>
      </c>
      <c r="L918" s="4">
        <f t="shared" si="57"/>
        <v>2</v>
      </c>
      <c r="M918" s="4">
        <v>5.1333867745589252</v>
      </c>
      <c r="N918" s="4">
        <v>180.1157569391022</v>
      </c>
      <c r="O918" s="4">
        <v>312.81956273293338</v>
      </c>
      <c r="X918" s="22">
        <f t="shared" si="58"/>
        <v>330.18213821921489</v>
      </c>
      <c r="Y918" s="2">
        <f t="shared" si="59"/>
        <v>301.45902751682377</v>
      </c>
    </row>
    <row r="919" spans="1:25">
      <c r="A919" s="2" t="s">
        <v>7</v>
      </c>
      <c r="B919" s="2" t="s">
        <v>17</v>
      </c>
      <c r="C919" s="2">
        <v>4.2201843879289758</v>
      </c>
      <c r="D919" s="2">
        <v>136.6279790300988</v>
      </c>
      <c r="E919" s="2">
        <v>280.02119571975021</v>
      </c>
      <c r="J919" s="4">
        <v>1</v>
      </c>
      <c r="K919" s="4">
        <f t="shared" si="56"/>
        <v>2</v>
      </c>
      <c r="L919" s="4">
        <f t="shared" si="57"/>
        <v>6</v>
      </c>
      <c r="M919" s="4">
        <v>4.2201843879289758</v>
      </c>
      <c r="N919" s="4">
        <v>136.6279790300988</v>
      </c>
      <c r="O919" s="4">
        <v>280.02119571975021</v>
      </c>
      <c r="X919" s="22">
        <f t="shared" si="58"/>
        <v>257.2857389212777</v>
      </c>
      <c r="Y919" s="2">
        <f t="shared" si="59"/>
        <v>516.90099583520998</v>
      </c>
    </row>
    <row r="920" spans="1:25">
      <c r="A920" s="2" t="s">
        <v>5</v>
      </c>
      <c r="B920" s="2" t="s">
        <v>12</v>
      </c>
      <c r="C920" s="2">
        <v>5.4479120252526991</v>
      </c>
      <c r="D920" s="2">
        <v>159.60353508294321</v>
      </c>
      <c r="E920" s="2">
        <v>337.63349610355863</v>
      </c>
      <c r="J920" s="4">
        <v>1</v>
      </c>
      <c r="K920" s="4">
        <f t="shared" si="56"/>
        <v>1</v>
      </c>
      <c r="L920" s="4">
        <f t="shared" si="57"/>
        <v>1</v>
      </c>
      <c r="M920" s="4">
        <v>5.4479120252526991</v>
      </c>
      <c r="N920" s="4">
        <v>159.60353508294321</v>
      </c>
      <c r="O920" s="4">
        <v>337.63349610355863</v>
      </c>
      <c r="X920" s="22">
        <f t="shared" si="58"/>
        <v>307.95048746019523</v>
      </c>
      <c r="Y920" s="2">
        <f t="shared" si="59"/>
        <v>881.08100212198599</v>
      </c>
    </row>
    <row r="921" spans="1:25">
      <c r="A921" s="2" t="s">
        <v>10</v>
      </c>
      <c r="B921" s="2" t="s">
        <v>14</v>
      </c>
      <c r="C921" s="2">
        <v>8.4542432719349652</v>
      </c>
      <c r="D921" s="2">
        <v>96.32563038285447</v>
      </c>
      <c r="E921" s="2">
        <v>221.9059887562012</v>
      </c>
      <c r="J921" s="4">
        <v>1</v>
      </c>
      <c r="K921" s="4">
        <f t="shared" si="56"/>
        <v>6</v>
      </c>
      <c r="L921" s="4">
        <f t="shared" si="57"/>
        <v>3</v>
      </c>
      <c r="M921" s="4">
        <v>8.4542432719349652</v>
      </c>
      <c r="N921" s="4">
        <v>96.32563038285447</v>
      </c>
      <c r="O921" s="4">
        <v>221.9059887562012</v>
      </c>
      <c r="X921" s="22">
        <f t="shared" si="58"/>
        <v>247.12342713718749</v>
      </c>
      <c r="Y921" s="2">
        <f t="shared" si="59"/>
        <v>635.91919849884061</v>
      </c>
    </row>
    <row r="922" spans="1:25">
      <c r="A922" s="2" t="s">
        <v>6</v>
      </c>
      <c r="B922" s="2" t="s">
        <v>12</v>
      </c>
      <c r="C922" s="2">
        <v>4.016872426337855</v>
      </c>
      <c r="D922" s="2">
        <v>129.74697169666999</v>
      </c>
      <c r="E922" s="2">
        <v>212.65867986843071</v>
      </c>
      <c r="J922" s="4">
        <v>1</v>
      </c>
      <c r="K922" s="4">
        <f t="shared" si="56"/>
        <v>3</v>
      </c>
      <c r="L922" s="4">
        <f t="shared" si="57"/>
        <v>1</v>
      </c>
      <c r="M922" s="4">
        <v>4.016872426337855</v>
      </c>
      <c r="N922" s="4">
        <v>129.74697169666999</v>
      </c>
      <c r="O922" s="4">
        <v>212.65867986843071</v>
      </c>
      <c r="X922" s="22">
        <f t="shared" si="58"/>
        <v>244.54570719011139</v>
      </c>
      <c r="Y922" s="2">
        <f t="shared" si="59"/>
        <v>1016.78251141361</v>
      </c>
    </row>
    <row r="923" spans="1:25">
      <c r="A923" s="2" t="s">
        <v>11</v>
      </c>
      <c r="B923" s="2" t="s">
        <v>16</v>
      </c>
      <c r="C923" s="2">
        <v>2.5638543382216938</v>
      </c>
      <c r="D923" s="2">
        <v>57.192885661209431</v>
      </c>
      <c r="E923" s="2">
        <v>84.519923050204454</v>
      </c>
      <c r="J923" s="4">
        <v>1</v>
      </c>
      <c r="K923" s="4">
        <f t="shared" si="56"/>
        <v>7</v>
      </c>
      <c r="L923" s="4">
        <f t="shared" si="57"/>
        <v>5</v>
      </c>
      <c r="M923" s="4">
        <v>2.5638543382216938</v>
      </c>
      <c r="N923" s="4">
        <v>57.192885661209431</v>
      </c>
      <c r="O923" s="4">
        <v>84.519923050204454</v>
      </c>
      <c r="X923" s="22">
        <f t="shared" si="58"/>
        <v>115.44806801725566</v>
      </c>
      <c r="Y923" s="2">
        <f t="shared" si="59"/>
        <v>956.55015110293516</v>
      </c>
    </row>
    <row r="924" spans="1:25">
      <c r="A924" s="2" t="s">
        <v>7</v>
      </c>
      <c r="B924" s="2" t="s">
        <v>16</v>
      </c>
      <c r="C924" s="2">
        <v>7.4081261829770266</v>
      </c>
      <c r="D924" s="2">
        <v>144.03755775386239</v>
      </c>
      <c r="E924" s="2">
        <v>372.71957857970779</v>
      </c>
      <c r="J924" s="4">
        <v>1</v>
      </c>
      <c r="K924" s="4">
        <f t="shared" si="56"/>
        <v>2</v>
      </c>
      <c r="L924" s="4">
        <f t="shared" si="57"/>
        <v>5</v>
      </c>
      <c r="M924" s="4">
        <v>7.4081261829770266</v>
      </c>
      <c r="N924" s="4">
        <v>144.03755775386239</v>
      </c>
      <c r="O924" s="4">
        <v>372.71957857970779</v>
      </c>
      <c r="X924" s="22">
        <f t="shared" si="58"/>
        <v>307.69329510909017</v>
      </c>
      <c r="Y924" s="2">
        <f t="shared" si="59"/>
        <v>4228.4175420011179</v>
      </c>
    </row>
    <row r="925" spans="1:25">
      <c r="A925" s="2" t="s">
        <v>5</v>
      </c>
      <c r="B925" s="2" t="s">
        <v>17</v>
      </c>
      <c r="C925" s="2">
        <v>8.433803914372735</v>
      </c>
      <c r="D925" s="2">
        <v>91.24425340363409</v>
      </c>
      <c r="E925" s="2">
        <v>264.80858027650862</v>
      </c>
      <c r="J925" s="4">
        <v>1</v>
      </c>
      <c r="K925" s="4">
        <f t="shared" si="56"/>
        <v>1</v>
      </c>
      <c r="L925" s="4">
        <f t="shared" si="57"/>
        <v>6</v>
      </c>
      <c r="M925" s="4">
        <v>8.433803914372735</v>
      </c>
      <c r="N925" s="4">
        <v>91.24425340363409</v>
      </c>
      <c r="O925" s="4">
        <v>264.80858027650862</v>
      </c>
      <c r="X925" s="22">
        <f t="shared" si="58"/>
        <v>242.43534938519113</v>
      </c>
      <c r="Y925" s="2">
        <f t="shared" si="59"/>
        <v>500.56146051620323</v>
      </c>
    </row>
    <row r="926" spans="1:25">
      <c r="A926" s="2" t="s">
        <v>7</v>
      </c>
      <c r="B926" s="2" t="s">
        <v>15</v>
      </c>
      <c r="C926" s="2">
        <v>1.9057373067118</v>
      </c>
      <c r="D926" s="2">
        <v>94.083647814801665</v>
      </c>
      <c r="E926" s="2">
        <v>139.9959886599068</v>
      </c>
      <c r="J926" s="4">
        <v>1</v>
      </c>
      <c r="K926" s="4">
        <f t="shared" si="56"/>
        <v>2</v>
      </c>
      <c r="L926" s="4">
        <f t="shared" si="57"/>
        <v>4</v>
      </c>
      <c r="M926" s="4">
        <v>1.9057373067118</v>
      </c>
      <c r="N926" s="4">
        <v>94.083647814801665</v>
      </c>
      <c r="O926" s="4">
        <v>139.9959886599068</v>
      </c>
      <c r="X926" s="22">
        <f t="shared" si="58"/>
        <v>165.83867758608261</v>
      </c>
      <c r="Y926" s="2">
        <f t="shared" si="59"/>
        <v>667.84457093508991</v>
      </c>
    </row>
    <row r="927" spans="1:25">
      <c r="A927" s="2" t="s">
        <v>10</v>
      </c>
      <c r="B927" s="2" t="s">
        <v>15</v>
      </c>
      <c r="C927" s="2">
        <v>3.1588670148035018</v>
      </c>
      <c r="D927" s="2">
        <v>133.37124166960751</v>
      </c>
      <c r="E927" s="2">
        <v>200.29828651489171</v>
      </c>
      <c r="J927" s="4">
        <v>1</v>
      </c>
      <c r="K927" s="4">
        <f t="shared" si="56"/>
        <v>6</v>
      </c>
      <c r="L927" s="4">
        <f t="shared" si="57"/>
        <v>4</v>
      </c>
      <c r="M927" s="4">
        <v>3.1588670148035018</v>
      </c>
      <c r="N927" s="4">
        <v>133.37124166960751</v>
      </c>
      <c r="O927" s="4">
        <v>200.29828651489171</v>
      </c>
      <c r="X927" s="22">
        <f t="shared" si="58"/>
        <v>236.82893623204191</v>
      </c>
      <c r="Y927" s="2">
        <f t="shared" si="59"/>
        <v>1334.4883687571257</v>
      </c>
    </row>
    <row r="928" spans="1:25">
      <c r="A928" s="2" t="s">
        <v>8</v>
      </c>
      <c r="B928" s="2" t="s">
        <v>17</v>
      </c>
      <c r="C928" s="2">
        <v>2.2777479078489451</v>
      </c>
      <c r="D928" s="2">
        <v>187.8933180790961</v>
      </c>
      <c r="E928" s="2">
        <v>324.63274277697002</v>
      </c>
      <c r="J928" s="4">
        <v>1</v>
      </c>
      <c r="K928" s="4">
        <f t="shared" si="56"/>
        <v>4</v>
      </c>
      <c r="L928" s="4">
        <f t="shared" si="57"/>
        <v>6</v>
      </c>
      <c r="M928" s="4">
        <v>2.2777479078489451</v>
      </c>
      <c r="N928" s="4">
        <v>187.8933180790961</v>
      </c>
      <c r="O928" s="4">
        <v>324.63274277697002</v>
      </c>
      <c r="X928" s="22">
        <f t="shared" si="58"/>
        <v>308.13811015051056</v>
      </c>
      <c r="Y928" s="2">
        <f t="shared" si="59"/>
        <v>272.07290548186103</v>
      </c>
    </row>
    <row r="929" spans="1:25">
      <c r="A929" s="2" t="s">
        <v>7</v>
      </c>
      <c r="B929" s="2" t="s">
        <v>16</v>
      </c>
      <c r="C929" s="2">
        <v>4.1314727042394992</v>
      </c>
      <c r="D929" s="2">
        <v>22.16120585563797</v>
      </c>
      <c r="E929" s="2">
        <v>96.709235664499772</v>
      </c>
      <c r="J929" s="4">
        <v>1</v>
      </c>
      <c r="K929" s="4">
        <f t="shared" si="56"/>
        <v>2</v>
      </c>
      <c r="L929" s="4">
        <f t="shared" si="57"/>
        <v>5</v>
      </c>
      <c r="M929" s="4">
        <v>4.1314727042394992</v>
      </c>
      <c r="N929" s="4">
        <v>22.16120585563797</v>
      </c>
      <c r="O929" s="4">
        <v>96.709235664499772</v>
      </c>
      <c r="X929" s="22">
        <f t="shared" si="58"/>
        <v>86.224349312771096</v>
      </c>
      <c r="Y929" s="2">
        <f t="shared" si="59"/>
        <v>109.93284180866627</v>
      </c>
    </row>
    <row r="930" spans="1:25">
      <c r="A930" s="2" t="s">
        <v>5</v>
      </c>
      <c r="B930" s="2" t="s">
        <v>16</v>
      </c>
      <c r="C930" s="2">
        <v>5.0531588101487142</v>
      </c>
      <c r="D930" s="2">
        <v>166.70121509593139</v>
      </c>
      <c r="E930" s="2">
        <v>366.65700096781222</v>
      </c>
      <c r="J930" s="4">
        <v>1</v>
      </c>
      <c r="K930" s="4">
        <f t="shared" si="56"/>
        <v>1</v>
      </c>
      <c r="L930" s="4">
        <f t="shared" si="57"/>
        <v>5</v>
      </c>
      <c r="M930" s="4">
        <v>5.0531588101487142</v>
      </c>
      <c r="N930" s="4">
        <v>166.70121509593139</v>
      </c>
      <c r="O930" s="4">
        <v>366.65700096781222</v>
      </c>
      <c r="X930" s="22">
        <f t="shared" si="58"/>
        <v>313.08047272654198</v>
      </c>
      <c r="Y930" s="2">
        <f t="shared" si="59"/>
        <v>2870.4443783876277</v>
      </c>
    </row>
    <row r="931" spans="1:25">
      <c r="A931" s="2" t="s">
        <v>7</v>
      </c>
      <c r="B931" s="2" t="s">
        <v>16</v>
      </c>
      <c r="C931" s="2">
        <v>7.7394370326697581</v>
      </c>
      <c r="D931" s="2">
        <v>65.552790978316693</v>
      </c>
      <c r="E931" s="2">
        <v>157.40455315903489</v>
      </c>
      <c r="J931" s="4">
        <v>1</v>
      </c>
      <c r="K931" s="4">
        <f t="shared" si="56"/>
        <v>2</v>
      </c>
      <c r="L931" s="4">
        <f t="shared" si="57"/>
        <v>5</v>
      </c>
      <c r="M931" s="4">
        <v>7.7394370326697581</v>
      </c>
      <c r="N931" s="4">
        <v>65.552790978316693</v>
      </c>
      <c r="O931" s="4">
        <v>157.40455315903489</v>
      </c>
      <c r="X931" s="22">
        <f t="shared" si="58"/>
        <v>195.13754862152862</v>
      </c>
      <c r="Y931" s="2">
        <f t="shared" si="59"/>
        <v>1423.7789465725727</v>
      </c>
    </row>
    <row r="932" spans="1:25">
      <c r="A932" s="2" t="s">
        <v>7</v>
      </c>
      <c r="B932" s="2" t="s">
        <v>12</v>
      </c>
      <c r="C932" s="2">
        <v>6.8603282639350667</v>
      </c>
      <c r="D932" s="2">
        <v>94.344696356211784</v>
      </c>
      <c r="E932" s="2">
        <v>241.41861152404229</v>
      </c>
      <c r="J932" s="4">
        <v>1</v>
      </c>
      <c r="K932" s="4">
        <f t="shared" si="56"/>
        <v>2</v>
      </c>
      <c r="L932" s="4">
        <f t="shared" si="57"/>
        <v>1</v>
      </c>
      <c r="M932" s="4">
        <v>6.8603282639350667</v>
      </c>
      <c r="N932" s="4">
        <v>94.344696356211784</v>
      </c>
      <c r="O932" s="4">
        <v>241.41861152404229</v>
      </c>
      <c r="X932" s="22">
        <f t="shared" si="58"/>
        <v>227.65615719035921</v>
      </c>
      <c r="Y932" s="2">
        <f t="shared" si="59"/>
        <v>189.40514928671223</v>
      </c>
    </row>
    <row r="933" spans="1:25">
      <c r="A933" s="2" t="s">
        <v>7</v>
      </c>
      <c r="B933" s="2" t="s">
        <v>16</v>
      </c>
      <c r="C933" s="2">
        <v>6.5883571073058809</v>
      </c>
      <c r="D933" s="2">
        <v>14.1635324672517</v>
      </c>
      <c r="E933" s="2">
        <v>69.726973882604497</v>
      </c>
      <c r="J933" s="4">
        <v>1</v>
      </c>
      <c r="K933" s="4">
        <f t="shared" si="56"/>
        <v>2</v>
      </c>
      <c r="L933" s="4">
        <f t="shared" si="57"/>
        <v>5</v>
      </c>
      <c r="M933" s="4">
        <v>6.5883571073058809</v>
      </c>
      <c r="N933" s="4">
        <v>14.1635324672517</v>
      </c>
      <c r="O933" s="4">
        <v>69.726973882604497</v>
      </c>
      <c r="X933" s="22">
        <f t="shared" si="58"/>
        <v>104.59371617475023</v>
      </c>
      <c r="Y933" s="2">
        <f t="shared" si="59"/>
        <v>1215.6897180669037</v>
      </c>
    </row>
    <row r="934" spans="1:25">
      <c r="A934" s="2" t="s">
        <v>9</v>
      </c>
      <c r="B934" s="2" t="s">
        <v>13</v>
      </c>
      <c r="C934" s="2">
        <v>4.1713745194868892</v>
      </c>
      <c r="D934" s="2">
        <v>67.198754788519466</v>
      </c>
      <c r="E934" s="2">
        <v>138.8298040765834</v>
      </c>
      <c r="J934" s="4">
        <v>1</v>
      </c>
      <c r="K934" s="4">
        <f t="shared" si="56"/>
        <v>5</v>
      </c>
      <c r="L934" s="4">
        <f t="shared" si="57"/>
        <v>2</v>
      </c>
      <c r="M934" s="4">
        <v>4.1713745194868892</v>
      </c>
      <c r="N934" s="4">
        <v>67.198754788519466</v>
      </c>
      <c r="O934" s="4">
        <v>138.8298040765834</v>
      </c>
      <c r="X934" s="22">
        <f t="shared" si="58"/>
        <v>151.9436660741278</v>
      </c>
      <c r="Y934" s="2">
        <f t="shared" si="59"/>
        <v>171.97337649063931</v>
      </c>
    </row>
    <row r="935" spans="1:25">
      <c r="A935" s="2" t="s">
        <v>9</v>
      </c>
      <c r="B935" s="2" t="s">
        <v>14</v>
      </c>
      <c r="C935" s="2">
        <v>8.5730279777628393</v>
      </c>
      <c r="D935" s="2">
        <v>105.49993609972481</v>
      </c>
      <c r="E935" s="2">
        <v>253.62514355170799</v>
      </c>
      <c r="J935" s="4">
        <v>1</v>
      </c>
      <c r="K935" s="4">
        <f t="shared" si="56"/>
        <v>5</v>
      </c>
      <c r="L935" s="4">
        <f t="shared" si="57"/>
        <v>3</v>
      </c>
      <c r="M935" s="4">
        <v>8.5730279777628393</v>
      </c>
      <c r="N935" s="4">
        <v>105.49993609972481</v>
      </c>
      <c r="O935" s="4">
        <v>253.62514355170799</v>
      </c>
      <c r="X935" s="22">
        <f t="shared" si="58"/>
        <v>262.92654491162102</v>
      </c>
      <c r="Y935" s="2">
        <f t="shared" si="59"/>
        <v>86.516067258191953</v>
      </c>
    </row>
    <row r="936" spans="1:25">
      <c r="A936" s="2" t="s">
        <v>8</v>
      </c>
      <c r="B936" s="2" t="s">
        <v>16</v>
      </c>
      <c r="C936" s="2">
        <v>5.2415845065834814</v>
      </c>
      <c r="D936" s="2">
        <v>20.673454696013408</v>
      </c>
      <c r="E936" s="2">
        <v>52.165030112587978</v>
      </c>
      <c r="J936" s="4">
        <v>1</v>
      </c>
      <c r="K936" s="4">
        <f t="shared" si="56"/>
        <v>4</v>
      </c>
      <c r="L936" s="4">
        <f t="shared" si="57"/>
        <v>5</v>
      </c>
      <c r="M936" s="4">
        <v>5.2415845065834814</v>
      </c>
      <c r="N936" s="4">
        <v>20.673454696013408</v>
      </c>
      <c r="O936" s="4">
        <v>52.165030112587978</v>
      </c>
      <c r="X936" s="22">
        <f t="shared" si="58"/>
        <v>96.270563220037843</v>
      </c>
      <c r="Y936" s="2">
        <f t="shared" si="59"/>
        <v>1945.2980506923561</v>
      </c>
    </row>
    <row r="937" spans="1:25">
      <c r="A937" s="2" t="s">
        <v>11</v>
      </c>
      <c r="B937" s="2" t="s">
        <v>17</v>
      </c>
      <c r="C937" s="2">
        <v>9.8119444421363902</v>
      </c>
      <c r="D937" s="2">
        <v>103.30818858280141</v>
      </c>
      <c r="E937" s="2">
        <v>335.40329941503393</v>
      </c>
      <c r="J937" s="4">
        <v>1</v>
      </c>
      <c r="K937" s="4">
        <f t="shared" si="56"/>
        <v>7</v>
      </c>
      <c r="L937" s="4">
        <f t="shared" si="57"/>
        <v>6</v>
      </c>
      <c r="M937" s="4">
        <v>9.8119444421363902</v>
      </c>
      <c r="N937" s="4">
        <v>103.30818858280141</v>
      </c>
      <c r="O937" s="4">
        <v>335.40329941503393</v>
      </c>
      <c r="X937" s="22">
        <f t="shared" si="58"/>
        <v>273.09513285439618</v>
      </c>
      <c r="Y937" s="2">
        <f t="shared" si="59"/>
        <v>3882.3076201481754</v>
      </c>
    </row>
    <row r="938" spans="1:25">
      <c r="A938" s="2" t="s">
        <v>7</v>
      </c>
      <c r="B938" s="2" t="s">
        <v>14</v>
      </c>
      <c r="C938" s="2">
        <v>6.7072792446616312</v>
      </c>
      <c r="D938" s="2">
        <v>186.15101948310121</v>
      </c>
      <c r="E938" s="2">
        <v>285.73116867411181</v>
      </c>
      <c r="J938" s="4">
        <v>1</v>
      </c>
      <c r="K938" s="4">
        <f t="shared" si="56"/>
        <v>2</v>
      </c>
      <c r="L938" s="4">
        <f t="shared" si="57"/>
        <v>3</v>
      </c>
      <c r="M938" s="4">
        <v>6.7072792446616312</v>
      </c>
      <c r="N938" s="4">
        <v>186.15101948310121</v>
      </c>
      <c r="O938" s="4">
        <v>285.73116867411181</v>
      </c>
      <c r="X938" s="22">
        <f t="shared" si="58"/>
        <v>361.92575105482217</v>
      </c>
      <c r="Y938" s="2">
        <f t="shared" si="59"/>
        <v>5805.6143841708572</v>
      </c>
    </row>
    <row r="939" spans="1:25">
      <c r="A939" s="2" t="s">
        <v>10</v>
      </c>
      <c r="B939" s="2" t="s">
        <v>12</v>
      </c>
      <c r="C939" s="2">
        <v>2.136382674080525</v>
      </c>
      <c r="D939" s="2">
        <v>30.024711440482989</v>
      </c>
      <c r="E939" s="2">
        <v>56.891393817139999</v>
      </c>
      <c r="J939" s="4">
        <v>1</v>
      </c>
      <c r="K939" s="4">
        <f t="shared" si="56"/>
        <v>6</v>
      </c>
      <c r="L939" s="4">
        <f t="shared" si="57"/>
        <v>1</v>
      </c>
      <c r="M939" s="4">
        <v>2.136382674080525</v>
      </c>
      <c r="N939" s="4">
        <v>30.024711440482989</v>
      </c>
      <c r="O939" s="4">
        <v>56.891393817139999</v>
      </c>
      <c r="X939" s="22">
        <f t="shared" si="58"/>
        <v>71.0729261635162</v>
      </c>
      <c r="Y939" s="2">
        <f t="shared" si="59"/>
        <v>201.11585969131448</v>
      </c>
    </row>
    <row r="940" spans="1:25">
      <c r="A940" s="2" t="s">
        <v>11</v>
      </c>
      <c r="B940" s="2" t="s">
        <v>17</v>
      </c>
      <c r="C940" s="2">
        <v>7.0855980586789062</v>
      </c>
      <c r="D940" s="2">
        <v>155.24373833434581</v>
      </c>
      <c r="E940" s="2">
        <v>281.00281645847258</v>
      </c>
      <c r="J940" s="4">
        <v>1</v>
      </c>
      <c r="K940" s="4">
        <f t="shared" si="56"/>
        <v>7</v>
      </c>
      <c r="L940" s="4">
        <f t="shared" si="57"/>
        <v>6</v>
      </c>
      <c r="M940" s="4">
        <v>7.0855980586789062</v>
      </c>
      <c r="N940" s="4">
        <v>155.24373833434581</v>
      </c>
      <c r="O940" s="4">
        <v>281.00281645847258</v>
      </c>
      <c r="X940" s="22">
        <f t="shared" si="58"/>
        <v>316.70327581179629</v>
      </c>
      <c r="Y940" s="2">
        <f t="shared" si="59"/>
        <v>1274.5227980383183</v>
      </c>
    </row>
    <row r="941" spans="1:25">
      <c r="A941" s="2" t="s">
        <v>10</v>
      </c>
      <c r="B941" s="2" t="s">
        <v>14</v>
      </c>
      <c r="C941" s="2">
        <v>3.9259361388852909</v>
      </c>
      <c r="D941" s="2">
        <v>87.837500141438596</v>
      </c>
      <c r="E941" s="2">
        <v>173.20102982095409</v>
      </c>
      <c r="J941" s="4">
        <v>1</v>
      </c>
      <c r="K941" s="4">
        <f t="shared" si="56"/>
        <v>6</v>
      </c>
      <c r="L941" s="4">
        <f t="shared" si="57"/>
        <v>3</v>
      </c>
      <c r="M941" s="4">
        <v>3.9259361388852909</v>
      </c>
      <c r="N941" s="4">
        <v>87.837500141438596</v>
      </c>
      <c r="O941" s="4">
        <v>173.20102982095409</v>
      </c>
      <c r="X941" s="22">
        <f t="shared" si="58"/>
        <v>178.74665830457442</v>
      </c>
      <c r="Y941" s="2">
        <f t="shared" si="59"/>
        <v>30.753995278341161</v>
      </c>
    </row>
    <row r="942" spans="1:25">
      <c r="A942" s="2" t="s">
        <v>11</v>
      </c>
      <c r="B942" s="2" t="s">
        <v>17</v>
      </c>
      <c r="C942" s="2">
        <v>7.1769447701748774</v>
      </c>
      <c r="D942" s="2">
        <v>134.48300575962421</v>
      </c>
      <c r="E942" s="2">
        <v>260.20443986876751</v>
      </c>
      <c r="J942" s="4">
        <v>1</v>
      </c>
      <c r="K942" s="4">
        <f t="shared" si="56"/>
        <v>7</v>
      </c>
      <c r="L942" s="4">
        <f t="shared" si="57"/>
        <v>6</v>
      </c>
      <c r="M942" s="4">
        <v>7.1769447701748774</v>
      </c>
      <c r="N942" s="4">
        <v>134.48300575962421</v>
      </c>
      <c r="O942" s="4">
        <v>260.20443986876751</v>
      </c>
      <c r="X942" s="22">
        <f t="shared" si="58"/>
        <v>286.97578151918833</v>
      </c>
      <c r="Y942" s="2">
        <f t="shared" si="59"/>
        <v>716.70473376355665</v>
      </c>
    </row>
    <row r="943" spans="1:25">
      <c r="A943" s="2" t="s">
        <v>8</v>
      </c>
      <c r="B943" s="2" t="s">
        <v>12</v>
      </c>
      <c r="C943" s="2">
        <v>1.6267703334616519</v>
      </c>
      <c r="D943" s="2">
        <v>59.444953617193583</v>
      </c>
      <c r="E943" s="2">
        <v>125.22281089907609</v>
      </c>
      <c r="J943" s="4">
        <v>1</v>
      </c>
      <c r="K943" s="4">
        <f t="shared" si="56"/>
        <v>4</v>
      </c>
      <c r="L943" s="4">
        <f t="shared" si="57"/>
        <v>1</v>
      </c>
      <c r="M943" s="4">
        <v>1.6267703334616519</v>
      </c>
      <c r="N943" s="4">
        <v>59.444953617193583</v>
      </c>
      <c r="O943" s="4">
        <v>125.22281089907609</v>
      </c>
      <c r="X943" s="22">
        <f t="shared" si="58"/>
        <v>109.93165404708364</v>
      </c>
      <c r="Y943" s="2">
        <f t="shared" si="59"/>
        <v>233.81947787223578</v>
      </c>
    </row>
    <row r="944" spans="1:25">
      <c r="A944" s="2" t="s">
        <v>7</v>
      </c>
      <c r="B944" s="2" t="s">
        <v>13</v>
      </c>
      <c r="C944" s="2">
        <v>2.573932934583635</v>
      </c>
      <c r="D944" s="2">
        <v>40.303529882858072</v>
      </c>
      <c r="E944" s="2">
        <v>80.189861193639373</v>
      </c>
      <c r="J944" s="4">
        <v>1</v>
      </c>
      <c r="K944" s="4">
        <f t="shared" si="56"/>
        <v>2</v>
      </c>
      <c r="L944" s="4">
        <f t="shared" si="57"/>
        <v>2</v>
      </c>
      <c r="M944" s="4">
        <v>2.573932934583635</v>
      </c>
      <c r="N944" s="4">
        <v>40.303529882858072</v>
      </c>
      <c r="O944" s="4">
        <v>80.189861193639373</v>
      </c>
      <c r="X944" s="22">
        <f t="shared" si="58"/>
        <v>94.423158696686912</v>
      </c>
      <c r="Y944" s="2">
        <f t="shared" si="59"/>
        <v>202.58675781025929</v>
      </c>
    </row>
    <row r="945" spans="1:25">
      <c r="A945" s="2" t="s">
        <v>7</v>
      </c>
      <c r="B945" s="2" t="s">
        <v>12</v>
      </c>
      <c r="C945" s="2">
        <v>8.7016353301520759</v>
      </c>
      <c r="D945" s="2">
        <v>40.487896711533033</v>
      </c>
      <c r="E945" s="2">
        <v>110.8030239106473</v>
      </c>
      <c r="J945" s="4">
        <v>1</v>
      </c>
      <c r="K945" s="4">
        <f t="shared" si="56"/>
        <v>2</v>
      </c>
      <c r="L945" s="4">
        <f t="shared" si="57"/>
        <v>1</v>
      </c>
      <c r="M945" s="4">
        <v>8.7016353301520759</v>
      </c>
      <c r="N945" s="4">
        <v>40.487896711533033</v>
      </c>
      <c r="O945" s="4">
        <v>110.8030239106473</v>
      </c>
      <c r="X945" s="22">
        <f t="shared" si="58"/>
        <v>170.2942803026437</v>
      </c>
      <c r="Y945" s="2">
        <f t="shared" si="59"/>
        <v>3539.2095870982525</v>
      </c>
    </row>
    <row r="946" spans="1:25">
      <c r="A946" s="2" t="s">
        <v>6</v>
      </c>
      <c r="B946" s="2" t="s">
        <v>12</v>
      </c>
      <c r="C946" s="2">
        <v>3.044616013211634</v>
      </c>
      <c r="D946" s="2">
        <v>23.39346967219748</v>
      </c>
      <c r="E946" s="2">
        <v>56.06130537044308</v>
      </c>
      <c r="J946" s="4">
        <v>1</v>
      </c>
      <c r="K946" s="4">
        <f t="shared" si="56"/>
        <v>3</v>
      </c>
      <c r="L946" s="4">
        <f t="shared" si="57"/>
        <v>1</v>
      </c>
      <c r="M946" s="4">
        <v>3.044616013211634</v>
      </c>
      <c r="N946" s="4">
        <v>23.39346967219748</v>
      </c>
      <c r="O946" s="4">
        <v>56.06130537044308</v>
      </c>
      <c r="X946" s="22">
        <f t="shared" si="58"/>
        <v>74.52202557959194</v>
      </c>
      <c r="Y946" s="2">
        <f t="shared" si="59"/>
        <v>340.79819064047712</v>
      </c>
    </row>
    <row r="947" spans="1:25">
      <c r="A947" s="2" t="s">
        <v>10</v>
      </c>
      <c r="B947" s="2" t="s">
        <v>17</v>
      </c>
      <c r="C947" s="2">
        <v>8.5333701271864602</v>
      </c>
      <c r="D947" s="2">
        <v>45.272873931236177</v>
      </c>
      <c r="E947" s="2">
        <v>237.96978857561251</v>
      </c>
      <c r="J947" s="4">
        <v>1</v>
      </c>
      <c r="K947" s="4">
        <f t="shared" si="56"/>
        <v>6</v>
      </c>
      <c r="L947" s="4">
        <f t="shared" si="57"/>
        <v>6</v>
      </c>
      <c r="M947" s="4">
        <v>8.5333701271864602</v>
      </c>
      <c r="N947" s="4">
        <v>45.272873931236177</v>
      </c>
      <c r="O947" s="4">
        <v>237.96978857561251</v>
      </c>
      <c r="X947" s="22">
        <f t="shared" si="58"/>
        <v>171.81116672981705</v>
      </c>
      <c r="Y947" s="2">
        <f t="shared" si="59"/>
        <v>4376.9632445349653</v>
      </c>
    </row>
    <row r="948" spans="1:25">
      <c r="A948" s="2" t="s">
        <v>11</v>
      </c>
      <c r="B948" s="2" t="s">
        <v>15</v>
      </c>
      <c r="C948" s="2">
        <v>3.5134847960896942</v>
      </c>
      <c r="D948" s="2">
        <v>136.20168314790399</v>
      </c>
      <c r="E948" s="2">
        <v>271.38812920800927</v>
      </c>
      <c r="J948" s="4">
        <v>1</v>
      </c>
      <c r="K948" s="4">
        <f t="shared" si="56"/>
        <v>7</v>
      </c>
      <c r="L948" s="4">
        <f t="shared" si="57"/>
        <v>4</v>
      </c>
      <c r="M948" s="4">
        <v>3.5134847960896942</v>
      </c>
      <c r="N948" s="4">
        <v>136.20168314790399</v>
      </c>
      <c r="O948" s="4">
        <v>271.38812920800927</v>
      </c>
      <c r="X948" s="22">
        <f t="shared" si="58"/>
        <v>244.69556564521372</v>
      </c>
      <c r="Y948" s="2">
        <f t="shared" si="59"/>
        <v>712.49294955388098</v>
      </c>
    </row>
    <row r="949" spans="1:25">
      <c r="A949" s="2" t="s">
        <v>11</v>
      </c>
      <c r="B949" s="2" t="s">
        <v>16</v>
      </c>
      <c r="C949" s="2">
        <v>6.7859371905283687</v>
      </c>
      <c r="D949" s="2">
        <v>177.52121625026649</v>
      </c>
      <c r="E949" s="2">
        <v>329.61593509648998</v>
      </c>
      <c r="J949" s="4">
        <v>1</v>
      </c>
      <c r="K949" s="4">
        <f t="shared" si="56"/>
        <v>7</v>
      </c>
      <c r="L949" s="4">
        <f t="shared" si="57"/>
        <v>5</v>
      </c>
      <c r="M949" s="4">
        <v>6.7859371905283687</v>
      </c>
      <c r="N949" s="4">
        <v>177.52121625026649</v>
      </c>
      <c r="O949" s="4">
        <v>329.61593509648998</v>
      </c>
      <c r="X949" s="22">
        <f t="shared" si="58"/>
        <v>346.25874869523227</v>
      </c>
      <c r="Y949" s="2">
        <f t="shared" si="59"/>
        <v>276.98324448248138</v>
      </c>
    </row>
    <row r="950" spans="1:25">
      <c r="A950" s="2" t="s">
        <v>9</v>
      </c>
      <c r="B950" s="2" t="s">
        <v>16</v>
      </c>
      <c r="C950" s="2">
        <v>7.2473551615884793</v>
      </c>
      <c r="D950" s="2">
        <v>164.68388026232071</v>
      </c>
      <c r="E950" s="2">
        <v>320.2988714044177</v>
      </c>
      <c r="J950" s="4">
        <v>1</v>
      </c>
      <c r="K950" s="4">
        <f t="shared" si="56"/>
        <v>5</v>
      </c>
      <c r="L950" s="4">
        <f t="shared" si="57"/>
        <v>5</v>
      </c>
      <c r="M950" s="4">
        <v>7.2473551615884793</v>
      </c>
      <c r="N950" s="4">
        <v>164.68388026232071</v>
      </c>
      <c r="O950" s="4">
        <v>320.2988714044177</v>
      </c>
      <c r="X950" s="22">
        <f t="shared" si="58"/>
        <v>334.27631994709367</v>
      </c>
      <c r="Y950" s="2">
        <f t="shared" si="59"/>
        <v>195.36906776315467</v>
      </c>
    </row>
    <row r="951" spans="1:25">
      <c r="A951" s="2" t="s">
        <v>6</v>
      </c>
      <c r="B951" s="2" t="s">
        <v>13</v>
      </c>
      <c r="C951" s="2">
        <v>5.6138927783054768</v>
      </c>
      <c r="D951" s="2">
        <v>140.17551887615201</v>
      </c>
      <c r="E951" s="2">
        <v>279.87568389555918</v>
      </c>
      <c r="J951" s="4">
        <v>1</v>
      </c>
      <c r="K951" s="4">
        <f t="shared" si="56"/>
        <v>3</v>
      </c>
      <c r="L951" s="4">
        <f t="shared" si="57"/>
        <v>2</v>
      </c>
      <c r="M951" s="4">
        <v>5.6138927783054768</v>
      </c>
      <c r="N951" s="4">
        <v>140.17551887615201</v>
      </c>
      <c r="O951" s="4">
        <v>279.87568389555918</v>
      </c>
      <c r="X951" s="22">
        <f t="shared" si="58"/>
        <v>279.57038321600817</v>
      </c>
      <c r="Y951" s="2">
        <f t="shared" si="59"/>
        <v>9.3208504934308517E-2</v>
      </c>
    </row>
    <row r="952" spans="1:25">
      <c r="A952" s="2" t="s">
        <v>5</v>
      </c>
      <c r="B952" s="2" t="s">
        <v>13</v>
      </c>
      <c r="C952" s="2">
        <v>3.7477960902705809</v>
      </c>
      <c r="D952" s="2">
        <v>30.982054048109511</v>
      </c>
      <c r="E952" s="2">
        <v>72.715146847189445</v>
      </c>
      <c r="J952" s="4">
        <v>1</v>
      </c>
      <c r="K952" s="4">
        <f t="shared" si="56"/>
        <v>1</v>
      </c>
      <c r="L952" s="4">
        <f t="shared" si="57"/>
        <v>2</v>
      </c>
      <c r="M952" s="4">
        <v>3.7477960902705809</v>
      </c>
      <c r="N952" s="4">
        <v>30.982054048109511</v>
      </c>
      <c r="O952" s="4">
        <v>72.715146847189445</v>
      </c>
      <c r="X952" s="22">
        <f t="shared" si="58"/>
        <v>95.732324372902809</v>
      </c>
      <c r="Y952" s="2">
        <f t="shared" si="59"/>
        <v>529.79046125020443</v>
      </c>
    </row>
    <row r="953" spans="1:25">
      <c r="A953" s="2" t="s">
        <v>5</v>
      </c>
      <c r="B953" s="2" t="s">
        <v>16</v>
      </c>
      <c r="C953" s="2">
        <v>2.9137993873398651</v>
      </c>
      <c r="D953" s="2">
        <v>64.945614796230473</v>
      </c>
      <c r="E953" s="2">
        <v>156.39689554150289</v>
      </c>
      <c r="J953" s="4">
        <v>1</v>
      </c>
      <c r="K953" s="4">
        <f t="shared" si="56"/>
        <v>1</v>
      </c>
      <c r="L953" s="4">
        <f t="shared" si="57"/>
        <v>5</v>
      </c>
      <c r="M953" s="4">
        <v>2.9137993873398651</v>
      </c>
      <c r="N953" s="4">
        <v>64.945614796230473</v>
      </c>
      <c r="O953" s="4">
        <v>156.39689554150289</v>
      </c>
      <c r="X953" s="22">
        <f t="shared" si="58"/>
        <v>135.51771850543713</v>
      </c>
      <c r="Y953" s="2">
        <f t="shared" si="59"/>
        <v>435.94003370337555</v>
      </c>
    </row>
    <row r="954" spans="1:25">
      <c r="A954" s="2" t="s">
        <v>9</v>
      </c>
      <c r="B954" s="2" t="s">
        <v>15</v>
      </c>
      <c r="C954" s="2">
        <v>1.298704191061836</v>
      </c>
      <c r="D954" s="2">
        <v>68.863306311269099</v>
      </c>
      <c r="E954" s="2">
        <v>122.18785714877291</v>
      </c>
      <c r="J954" s="4">
        <v>1</v>
      </c>
      <c r="K954" s="4">
        <f t="shared" si="56"/>
        <v>5</v>
      </c>
      <c r="L954" s="4">
        <f t="shared" si="57"/>
        <v>4</v>
      </c>
      <c r="M954" s="4">
        <v>1.298704191061836</v>
      </c>
      <c r="N954" s="4">
        <v>68.863306311269099</v>
      </c>
      <c r="O954" s="4">
        <v>122.18785714877291</v>
      </c>
      <c r="X954" s="22">
        <f t="shared" si="58"/>
        <v>118.76424411578607</v>
      </c>
      <c r="Y954" s="2">
        <f t="shared" si="59"/>
        <v>11.721126199637322</v>
      </c>
    </row>
    <row r="955" spans="1:25">
      <c r="A955" s="2" t="s">
        <v>9</v>
      </c>
      <c r="B955" s="2" t="s">
        <v>16</v>
      </c>
      <c r="C955" s="2">
        <v>3.735517611166514</v>
      </c>
      <c r="D955" s="2">
        <v>57.491819815548027</v>
      </c>
      <c r="E955" s="2">
        <v>154.01911228554741</v>
      </c>
      <c r="J955" s="4">
        <v>1</v>
      </c>
      <c r="K955" s="4">
        <f t="shared" si="56"/>
        <v>5</v>
      </c>
      <c r="L955" s="4">
        <f t="shared" si="57"/>
        <v>5</v>
      </c>
      <c r="M955" s="4">
        <v>3.735517611166514</v>
      </c>
      <c r="N955" s="4">
        <v>57.491819815548027</v>
      </c>
      <c r="O955" s="4">
        <v>154.01911228554741</v>
      </c>
      <c r="X955" s="22">
        <f t="shared" si="58"/>
        <v>131.73347112902184</v>
      </c>
      <c r="Y955" s="2">
        <f t="shared" si="59"/>
        <v>496.64980175742642</v>
      </c>
    </row>
    <row r="956" spans="1:25">
      <c r="A956" s="2" t="s">
        <v>9</v>
      </c>
      <c r="B956" s="2" t="s">
        <v>15</v>
      </c>
      <c r="C956" s="2">
        <v>6.8784651147815472</v>
      </c>
      <c r="D956" s="2">
        <v>107.8510753448474</v>
      </c>
      <c r="E956" s="2">
        <v>249.99540094529141</v>
      </c>
      <c r="J956" s="4">
        <v>1</v>
      </c>
      <c r="K956" s="4">
        <f t="shared" si="56"/>
        <v>5</v>
      </c>
      <c r="L956" s="4">
        <f t="shared" si="57"/>
        <v>4</v>
      </c>
      <c r="M956" s="4">
        <v>6.8784651147815472</v>
      </c>
      <c r="N956" s="4">
        <v>107.8510753448474</v>
      </c>
      <c r="O956" s="4">
        <v>249.99540094529141</v>
      </c>
      <c r="X956" s="22">
        <f t="shared" si="58"/>
        <v>245.41412894349787</v>
      </c>
      <c r="Y956" s="2">
        <f t="shared" si="59"/>
        <v>20.988053154417354</v>
      </c>
    </row>
    <row r="957" spans="1:25">
      <c r="A957" s="2" t="s">
        <v>10</v>
      </c>
      <c r="B957" s="2" t="s">
        <v>13</v>
      </c>
      <c r="C957" s="2">
        <v>9.4447433660363433</v>
      </c>
      <c r="D957" s="2">
        <v>111.75522482713779</v>
      </c>
      <c r="E957" s="2">
        <v>350.16541330315198</v>
      </c>
      <c r="J957" s="4">
        <v>1</v>
      </c>
      <c r="K957" s="4">
        <f t="shared" si="56"/>
        <v>6</v>
      </c>
      <c r="L957" s="4">
        <f t="shared" si="57"/>
        <v>2</v>
      </c>
      <c r="M957" s="4">
        <v>9.4447433660363433</v>
      </c>
      <c r="N957" s="4">
        <v>111.75522482713779</v>
      </c>
      <c r="O957" s="4">
        <v>350.16541330315198</v>
      </c>
      <c r="X957" s="22">
        <f t="shared" si="58"/>
        <v>282.38965694340703</v>
      </c>
      <c r="Y957" s="2">
        <f t="shared" si="59"/>
        <v>4593.5531501355072</v>
      </c>
    </row>
    <row r="958" spans="1:25">
      <c r="A958" s="2" t="s">
        <v>10</v>
      </c>
      <c r="B958" s="2" t="s">
        <v>14</v>
      </c>
      <c r="C958" s="2">
        <v>8.8408403403674676</v>
      </c>
      <c r="D958" s="2">
        <v>77.808335282510939</v>
      </c>
      <c r="E958" s="2">
        <v>232.74847967328779</v>
      </c>
      <c r="J958" s="4">
        <v>1</v>
      </c>
      <c r="K958" s="4">
        <f t="shared" si="56"/>
        <v>6</v>
      </c>
      <c r="L958" s="4">
        <f t="shared" si="57"/>
        <v>3</v>
      </c>
      <c r="M958" s="4">
        <v>8.8408403403674676</v>
      </c>
      <c r="N958" s="4">
        <v>77.808335282510939</v>
      </c>
      <c r="O958" s="4">
        <v>232.74847967328779</v>
      </c>
      <c r="X958" s="22">
        <f t="shared" si="58"/>
        <v>224.36566886423699</v>
      </c>
      <c r="Y958" s="2">
        <f t="shared" si="59"/>
        <v>70.271517060338851</v>
      </c>
    </row>
    <row r="959" spans="1:25">
      <c r="A959" s="2" t="s">
        <v>8</v>
      </c>
      <c r="B959" s="2" t="s">
        <v>17</v>
      </c>
      <c r="C959" s="2">
        <v>7.8945829888177226</v>
      </c>
      <c r="D959" s="2">
        <v>77.219940159922842</v>
      </c>
      <c r="E959" s="2">
        <v>197.6013002820589</v>
      </c>
      <c r="J959" s="4">
        <v>1</v>
      </c>
      <c r="K959" s="4">
        <f t="shared" si="56"/>
        <v>4</v>
      </c>
      <c r="L959" s="4">
        <f t="shared" si="57"/>
        <v>6</v>
      </c>
      <c r="M959" s="4">
        <v>7.8945829888177226</v>
      </c>
      <c r="N959" s="4">
        <v>77.219940159922842</v>
      </c>
      <c r="O959" s="4">
        <v>197.6013002820589</v>
      </c>
      <c r="X959" s="22">
        <f t="shared" si="58"/>
        <v>212.83429918758861</v>
      </c>
      <c r="Y959" s="2">
        <f t="shared" si="59"/>
        <v>232.04425565586939</v>
      </c>
    </row>
    <row r="960" spans="1:25">
      <c r="A960" s="2" t="s">
        <v>8</v>
      </c>
      <c r="B960" s="2" t="s">
        <v>13</v>
      </c>
      <c r="C960" s="2">
        <v>8.0960260892796878</v>
      </c>
      <c r="D960" s="2">
        <v>167.42556360215539</v>
      </c>
      <c r="E960" s="2">
        <v>408.72403388912068</v>
      </c>
      <c r="J960" s="4">
        <v>1</v>
      </c>
      <c r="K960" s="4">
        <f t="shared" si="56"/>
        <v>4</v>
      </c>
      <c r="L960" s="4">
        <f t="shared" si="57"/>
        <v>2</v>
      </c>
      <c r="M960" s="4">
        <v>8.0960260892796878</v>
      </c>
      <c r="N960" s="4">
        <v>167.42556360215539</v>
      </c>
      <c r="O960" s="4">
        <v>408.72403388912068</v>
      </c>
      <c r="X960" s="22">
        <f t="shared" si="58"/>
        <v>349.92551063727171</v>
      </c>
      <c r="Y960" s="2">
        <f t="shared" si="59"/>
        <v>3457.266336598223</v>
      </c>
    </row>
    <row r="961" spans="1:25">
      <c r="A961" s="2" t="s">
        <v>9</v>
      </c>
      <c r="B961" s="2" t="s">
        <v>13</v>
      </c>
      <c r="C961" s="2">
        <v>6.984864131283957</v>
      </c>
      <c r="D961" s="2">
        <v>159.96564118074031</v>
      </c>
      <c r="E961" s="2">
        <v>315.27514788103701</v>
      </c>
      <c r="J961" s="4">
        <v>1</v>
      </c>
      <c r="K961" s="4">
        <f t="shared" si="56"/>
        <v>5</v>
      </c>
      <c r="L961" s="4">
        <f t="shared" si="57"/>
        <v>2</v>
      </c>
      <c r="M961" s="4">
        <v>6.984864131283957</v>
      </c>
      <c r="N961" s="4">
        <v>159.96564118074031</v>
      </c>
      <c r="O961" s="4">
        <v>315.27514788103701</v>
      </c>
      <c r="X961" s="22">
        <f t="shared" si="58"/>
        <v>324.44976011470277</v>
      </c>
      <c r="Y961" s="2">
        <f t="shared" si="59"/>
        <v>84.173509638129332</v>
      </c>
    </row>
    <row r="962" spans="1:25">
      <c r="A962" s="2" t="s">
        <v>6</v>
      </c>
      <c r="B962" s="2" t="s">
        <v>12</v>
      </c>
      <c r="C962" s="2">
        <v>3.3425817180940269</v>
      </c>
      <c r="D962" s="2">
        <v>68.481208019341665</v>
      </c>
      <c r="E962" s="2">
        <v>155.3996857259327</v>
      </c>
      <c r="J962" s="4">
        <v>1</v>
      </c>
      <c r="K962" s="4">
        <f t="shared" si="56"/>
        <v>3</v>
      </c>
      <c r="L962" s="4">
        <f t="shared" si="57"/>
        <v>1</v>
      </c>
      <c r="M962" s="4">
        <v>3.3425817180940269</v>
      </c>
      <c r="N962" s="4">
        <v>68.481208019341665</v>
      </c>
      <c r="O962" s="4">
        <v>155.3996857259327</v>
      </c>
      <c r="X962" s="22">
        <f t="shared" si="58"/>
        <v>145.19577247885854</v>
      </c>
      <c r="Y962" s="2">
        <f t="shared" si="59"/>
        <v>104.11984555381542</v>
      </c>
    </row>
    <row r="963" spans="1:25">
      <c r="A963" s="2" t="s">
        <v>11</v>
      </c>
      <c r="B963" s="2" t="s">
        <v>12</v>
      </c>
      <c r="C963" s="2">
        <v>9.1647552763524693</v>
      </c>
      <c r="D963" s="2">
        <v>183.6198043359193</v>
      </c>
      <c r="E963" s="2">
        <v>474.55611352471072</v>
      </c>
      <c r="J963" s="4">
        <v>1</v>
      </c>
      <c r="K963" s="4">
        <f t="shared" si="56"/>
        <v>7</v>
      </c>
      <c r="L963" s="4">
        <f t="shared" si="57"/>
        <v>1</v>
      </c>
      <c r="M963" s="4">
        <v>9.1647552763524693</v>
      </c>
      <c r="N963" s="4">
        <v>183.6198043359193</v>
      </c>
      <c r="O963" s="4">
        <v>474.55611352471072</v>
      </c>
      <c r="X963" s="22">
        <f t="shared" si="58"/>
        <v>385.17186793285646</v>
      </c>
      <c r="Y963" s="2">
        <f t="shared" si="59"/>
        <v>7989.5433600249189</v>
      </c>
    </row>
    <row r="964" spans="1:25">
      <c r="A964" s="2" t="s">
        <v>10</v>
      </c>
      <c r="B964" s="2" t="s">
        <v>12</v>
      </c>
      <c r="C964" s="2">
        <v>7.0365908071525061</v>
      </c>
      <c r="D964" s="2">
        <v>191.03485323047619</v>
      </c>
      <c r="E964" s="2">
        <v>409.02154851133548</v>
      </c>
      <c r="J964" s="4">
        <v>1</v>
      </c>
      <c r="K964" s="4">
        <f t="shared" ref="K964:K1002" si="60">VLOOKUP(A964, $F$3:$G$9, 2, FALSE)</f>
        <v>6</v>
      </c>
      <c r="L964" s="4">
        <f t="shared" ref="L964:L1002" si="61">VLOOKUP(B964, $H$3:$I$8, 2, FALSE)</f>
        <v>1</v>
      </c>
      <c r="M964" s="4">
        <v>7.0365908071525061</v>
      </c>
      <c r="N964" s="4">
        <v>191.03485323047619</v>
      </c>
      <c r="O964" s="4">
        <v>409.02154851133548</v>
      </c>
      <c r="X964" s="22">
        <f t="shared" ref="X964:X1002" si="62">$U$16+$U$17*K964+$U$18*L964+$U$19*M964+$U$20*N964</f>
        <v>370.69111393885362</v>
      </c>
      <c r="Y964" s="2">
        <f t="shared" ref="Y964:Y1002" si="63">POWER(O964-X964,2)</f>
        <v>1469.2222145153128</v>
      </c>
    </row>
    <row r="965" spans="1:25">
      <c r="A965" s="2" t="s">
        <v>6</v>
      </c>
      <c r="B965" s="2" t="s">
        <v>17</v>
      </c>
      <c r="C965" s="2">
        <v>6.0439656788239597</v>
      </c>
      <c r="D965" s="2">
        <v>72.081082985707752</v>
      </c>
      <c r="E965" s="2">
        <v>247.9956384177849</v>
      </c>
      <c r="J965" s="4">
        <v>1</v>
      </c>
      <c r="K965" s="4">
        <f t="shared" si="60"/>
        <v>3</v>
      </c>
      <c r="L965" s="4">
        <f t="shared" si="61"/>
        <v>6</v>
      </c>
      <c r="M965" s="4">
        <v>6.0439656788239597</v>
      </c>
      <c r="N965" s="4">
        <v>72.081082985707752</v>
      </c>
      <c r="O965" s="4">
        <v>247.9956384177849</v>
      </c>
      <c r="X965" s="22">
        <f t="shared" si="62"/>
        <v>183.11506582672953</v>
      </c>
      <c r="Y965" s="2">
        <f t="shared" si="63"/>
        <v>4209.488699743205</v>
      </c>
    </row>
    <row r="966" spans="1:25">
      <c r="A966" s="2" t="s">
        <v>7</v>
      </c>
      <c r="B966" s="2" t="s">
        <v>12</v>
      </c>
      <c r="C966" s="2">
        <v>1.99890522292133</v>
      </c>
      <c r="D966" s="2">
        <v>77.340740270680428</v>
      </c>
      <c r="E966" s="2">
        <v>138.5303762428822</v>
      </c>
      <c r="J966" s="4">
        <v>1</v>
      </c>
      <c r="K966" s="4">
        <f t="shared" si="60"/>
        <v>2</v>
      </c>
      <c r="L966" s="4">
        <f t="shared" si="61"/>
        <v>1</v>
      </c>
      <c r="M966" s="4">
        <v>1.99890522292133</v>
      </c>
      <c r="N966" s="4">
        <v>77.340740270680428</v>
      </c>
      <c r="O966" s="4">
        <v>138.5303762428822</v>
      </c>
      <c r="X966" s="22">
        <f t="shared" si="62"/>
        <v>142.52202086723048</v>
      </c>
      <c r="Y966" s="2">
        <f t="shared" si="63"/>
        <v>15.933226807088541</v>
      </c>
    </row>
    <row r="967" spans="1:25">
      <c r="A967" s="2" t="s">
        <v>10</v>
      </c>
      <c r="B967" s="2" t="s">
        <v>15</v>
      </c>
      <c r="C967" s="2">
        <v>5.0234998942578288</v>
      </c>
      <c r="D967" s="2">
        <v>106.07048915017219</v>
      </c>
      <c r="E967" s="2">
        <v>241.83518680722639</v>
      </c>
      <c r="J967" s="4">
        <v>1</v>
      </c>
      <c r="K967" s="4">
        <f t="shared" si="60"/>
        <v>6</v>
      </c>
      <c r="L967" s="4">
        <f t="shared" si="61"/>
        <v>4</v>
      </c>
      <c r="M967" s="4">
        <v>5.0234998942578288</v>
      </c>
      <c r="N967" s="4">
        <v>106.07048915017219</v>
      </c>
      <c r="O967" s="4">
        <v>241.83518680722639</v>
      </c>
      <c r="X967" s="22">
        <f t="shared" si="62"/>
        <v>219.21902843542946</v>
      </c>
      <c r="Y967" s="2">
        <f t="shared" si="63"/>
        <v>511.49061949820026</v>
      </c>
    </row>
    <row r="968" spans="1:25">
      <c r="A968" s="2" t="s">
        <v>10</v>
      </c>
      <c r="B968" s="2" t="s">
        <v>16</v>
      </c>
      <c r="C968" s="2">
        <v>5.1432244408173364</v>
      </c>
      <c r="D968" s="2">
        <v>188.81295438139799</v>
      </c>
      <c r="E968" s="2">
        <v>332.72449619943791</v>
      </c>
      <c r="J968" s="4">
        <v>1</v>
      </c>
      <c r="K968" s="4">
        <f t="shared" si="60"/>
        <v>6</v>
      </c>
      <c r="L968" s="4">
        <f t="shared" si="61"/>
        <v>5</v>
      </c>
      <c r="M968" s="4">
        <v>5.1432244408173364</v>
      </c>
      <c r="N968" s="4">
        <v>188.81295438139799</v>
      </c>
      <c r="O968" s="4">
        <v>332.72449619943791</v>
      </c>
      <c r="X968" s="22">
        <f t="shared" si="62"/>
        <v>343.51707689902577</v>
      </c>
      <c r="Y968" s="2">
        <f t="shared" si="63"/>
        <v>116.47979815711635</v>
      </c>
    </row>
    <row r="969" spans="1:25">
      <c r="A969" s="2" t="s">
        <v>8</v>
      </c>
      <c r="B969" s="2" t="s">
        <v>14</v>
      </c>
      <c r="C969" s="2">
        <v>8.7810724857040299</v>
      </c>
      <c r="D969" s="2">
        <v>176.50069229703919</v>
      </c>
      <c r="E969" s="2">
        <v>276.90731847993038</v>
      </c>
      <c r="J969" s="4">
        <v>1</v>
      </c>
      <c r="K969" s="4">
        <f t="shared" si="60"/>
        <v>4</v>
      </c>
      <c r="L969" s="4">
        <f t="shared" si="61"/>
        <v>3</v>
      </c>
      <c r="M969" s="4">
        <v>8.7810724857040299</v>
      </c>
      <c r="N969" s="4">
        <v>176.50069229703919</v>
      </c>
      <c r="O969" s="4">
        <v>276.90731847993038</v>
      </c>
      <c r="X969" s="22">
        <f t="shared" si="62"/>
        <v>371.70862306076407</v>
      </c>
      <c r="Y969" s="2">
        <f t="shared" si="63"/>
        <v>8987.2873502279981</v>
      </c>
    </row>
    <row r="970" spans="1:25">
      <c r="A970" s="2" t="s">
        <v>11</v>
      </c>
      <c r="B970" s="2" t="s">
        <v>13</v>
      </c>
      <c r="C970" s="2">
        <v>5.919833981690096</v>
      </c>
      <c r="D970" s="2">
        <v>29.487912890882061</v>
      </c>
      <c r="E970" s="2">
        <v>109.4225327004568</v>
      </c>
      <c r="J970" s="4">
        <v>1</v>
      </c>
      <c r="K970" s="4">
        <f t="shared" si="60"/>
        <v>7</v>
      </c>
      <c r="L970" s="4">
        <f t="shared" si="61"/>
        <v>2</v>
      </c>
      <c r="M970" s="4">
        <v>5.919833981690096</v>
      </c>
      <c r="N970" s="4">
        <v>29.487912890882061</v>
      </c>
      <c r="O970" s="4">
        <v>109.4225327004568</v>
      </c>
      <c r="X970" s="22">
        <f t="shared" si="62"/>
        <v>116.01979545660036</v>
      </c>
      <c r="Y970" s="2">
        <f t="shared" si="63"/>
        <v>43.523875873598982</v>
      </c>
    </row>
    <row r="971" spans="1:25">
      <c r="A971" s="2" t="s">
        <v>11</v>
      </c>
      <c r="B971" s="2" t="s">
        <v>15</v>
      </c>
      <c r="C971" s="2">
        <v>4.4236049407336866</v>
      </c>
      <c r="D971" s="2">
        <v>84.618841221569085</v>
      </c>
      <c r="E971" s="2">
        <v>174.61885011132179</v>
      </c>
      <c r="J971" s="4">
        <v>1</v>
      </c>
      <c r="K971" s="4">
        <f t="shared" si="60"/>
        <v>7</v>
      </c>
      <c r="L971" s="4">
        <f t="shared" si="61"/>
        <v>4</v>
      </c>
      <c r="M971" s="4">
        <v>4.4236049407336866</v>
      </c>
      <c r="N971" s="4">
        <v>84.618841221569085</v>
      </c>
      <c r="O971" s="4">
        <v>174.61885011132179</v>
      </c>
      <c r="X971" s="22">
        <f t="shared" si="62"/>
        <v>179.24614704088293</v>
      </c>
      <c r="Y971" s="2">
        <f t="shared" si="63"/>
        <v>21.411876874325959</v>
      </c>
    </row>
    <row r="972" spans="1:25">
      <c r="A972" s="2" t="s">
        <v>5</v>
      </c>
      <c r="B972" s="2" t="s">
        <v>14</v>
      </c>
      <c r="C972" s="2">
        <v>9.7912029565959333</v>
      </c>
      <c r="D972" s="2">
        <v>115.14052605245671</v>
      </c>
      <c r="E972" s="2">
        <v>286.32237970034129</v>
      </c>
      <c r="J972" s="4">
        <v>1</v>
      </c>
      <c r="K972" s="4">
        <f t="shared" si="60"/>
        <v>1</v>
      </c>
      <c r="L972" s="4">
        <f t="shared" si="61"/>
        <v>3</v>
      </c>
      <c r="M972" s="4">
        <v>9.7912029565959333</v>
      </c>
      <c r="N972" s="4">
        <v>115.14052605245671</v>
      </c>
      <c r="O972" s="4">
        <v>286.32237970034129</v>
      </c>
      <c r="X972" s="22">
        <f t="shared" si="62"/>
        <v>295.08028973124351</v>
      </c>
      <c r="Y972" s="2">
        <f t="shared" si="63"/>
        <v>76.700988109377789</v>
      </c>
    </row>
    <row r="973" spans="1:25">
      <c r="A973" s="2" t="s">
        <v>5</v>
      </c>
      <c r="B973" s="2" t="s">
        <v>15</v>
      </c>
      <c r="C973" s="2">
        <v>1.996485339936841</v>
      </c>
      <c r="D973" s="2">
        <v>105.5951697847926</v>
      </c>
      <c r="E973" s="2">
        <v>183.4859312125391</v>
      </c>
      <c r="J973" s="4">
        <v>1</v>
      </c>
      <c r="K973" s="4">
        <f t="shared" si="60"/>
        <v>1</v>
      </c>
      <c r="L973" s="4">
        <f t="shared" si="61"/>
        <v>4</v>
      </c>
      <c r="M973" s="4">
        <v>1.996485339936841</v>
      </c>
      <c r="N973" s="4">
        <v>105.5951697847926</v>
      </c>
      <c r="O973" s="4">
        <v>183.4859312125391</v>
      </c>
      <c r="X973" s="22">
        <f t="shared" si="62"/>
        <v>184.76986367258419</v>
      </c>
      <c r="Y973" s="2">
        <f t="shared" si="63"/>
        <v>1.6484825619574459</v>
      </c>
    </row>
    <row r="974" spans="1:25">
      <c r="A974" s="2" t="s">
        <v>5</v>
      </c>
      <c r="B974" s="2" t="s">
        <v>15</v>
      </c>
      <c r="C974" s="2">
        <v>4.802935854807501</v>
      </c>
      <c r="D974" s="2">
        <v>46.83398290800961</v>
      </c>
      <c r="E974" s="2">
        <v>130.46298776654109</v>
      </c>
      <c r="J974" s="4">
        <v>1</v>
      </c>
      <c r="K974" s="4">
        <f t="shared" si="60"/>
        <v>1</v>
      </c>
      <c r="L974" s="4">
        <f t="shared" si="61"/>
        <v>4</v>
      </c>
      <c r="M974" s="4">
        <v>4.802935854807501</v>
      </c>
      <c r="N974" s="4">
        <v>46.83398290800961</v>
      </c>
      <c r="O974" s="4">
        <v>130.46298776654109</v>
      </c>
      <c r="X974" s="22">
        <f t="shared" si="62"/>
        <v>132.00461676742097</v>
      </c>
      <c r="Y974" s="2">
        <f t="shared" si="63"/>
        <v>2.3766199763538958</v>
      </c>
    </row>
    <row r="975" spans="1:25">
      <c r="A975" s="2" t="s">
        <v>5</v>
      </c>
      <c r="B975" s="2" t="s">
        <v>13</v>
      </c>
      <c r="C975" s="2">
        <v>1.3782220765426481</v>
      </c>
      <c r="D975" s="2">
        <v>173.1751865219494</v>
      </c>
      <c r="E975" s="2">
        <v>322.29409364073649</v>
      </c>
      <c r="J975" s="4">
        <v>1</v>
      </c>
      <c r="K975" s="4">
        <f t="shared" si="60"/>
        <v>1</v>
      </c>
      <c r="L975" s="4">
        <f t="shared" si="61"/>
        <v>2</v>
      </c>
      <c r="M975" s="4">
        <v>1.3782220765426481</v>
      </c>
      <c r="N975" s="4">
        <v>173.1751865219494</v>
      </c>
      <c r="O975" s="4">
        <v>322.29409364073649</v>
      </c>
      <c r="X975" s="22">
        <f t="shared" si="62"/>
        <v>277.86491825062564</v>
      </c>
      <c r="Y975" s="2">
        <f t="shared" si="63"/>
        <v>1973.9516258452322</v>
      </c>
    </row>
    <row r="976" spans="1:25">
      <c r="A976" s="2" t="s">
        <v>7</v>
      </c>
      <c r="B976" s="2" t="s">
        <v>16</v>
      </c>
      <c r="C976" s="2">
        <v>7.6591370869023727</v>
      </c>
      <c r="D976" s="2">
        <v>138.6187487693991</v>
      </c>
      <c r="E976" s="2">
        <v>325.55905937191551</v>
      </c>
      <c r="J976" s="4">
        <v>1</v>
      </c>
      <c r="K976" s="4">
        <f t="shared" si="60"/>
        <v>2</v>
      </c>
      <c r="L976" s="4">
        <f t="shared" si="61"/>
        <v>5</v>
      </c>
      <c r="M976" s="4">
        <v>7.6591370869023727</v>
      </c>
      <c r="N976" s="4">
        <v>138.6187487693991</v>
      </c>
      <c r="O976" s="4">
        <v>325.55905937191551</v>
      </c>
      <c r="X976" s="22">
        <f t="shared" si="62"/>
        <v>302.73145293834045</v>
      </c>
      <c r="Y976" s="2">
        <f t="shared" si="63"/>
        <v>521.09961548619731</v>
      </c>
    </row>
    <row r="977" spans="1:25">
      <c r="A977" s="2" t="s">
        <v>7</v>
      </c>
      <c r="B977" s="2" t="s">
        <v>12</v>
      </c>
      <c r="C977" s="2">
        <v>9.2626889697923556</v>
      </c>
      <c r="D977" s="2">
        <v>169.20259122184271</v>
      </c>
      <c r="E977" s="2">
        <v>362.38819931839203</v>
      </c>
      <c r="J977" s="4">
        <v>1</v>
      </c>
      <c r="K977" s="4">
        <f t="shared" si="60"/>
        <v>2</v>
      </c>
      <c r="L977" s="4">
        <f t="shared" si="61"/>
        <v>1</v>
      </c>
      <c r="M977" s="4">
        <v>9.2626889697923556</v>
      </c>
      <c r="N977" s="4">
        <v>169.20259122184271</v>
      </c>
      <c r="O977" s="4">
        <v>362.38819931839203</v>
      </c>
      <c r="X977" s="22">
        <f t="shared" si="62"/>
        <v>368.48510503115199</v>
      </c>
      <c r="Y977" s="2">
        <f t="shared" si="63"/>
        <v>37.172259270285068</v>
      </c>
    </row>
    <row r="978" spans="1:25">
      <c r="A978" s="2" t="s">
        <v>10</v>
      </c>
      <c r="B978" s="2" t="s">
        <v>17</v>
      </c>
      <c r="C978" s="2">
        <v>3.5203359659544051</v>
      </c>
      <c r="D978" s="2">
        <v>173.16521307639971</v>
      </c>
      <c r="E978" s="2">
        <v>330.40607896933062</v>
      </c>
      <c r="J978" s="4">
        <v>1</v>
      </c>
      <c r="K978" s="4">
        <f t="shared" si="60"/>
        <v>6</v>
      </c>
      <c r="L978" s="4">
        <f t="shared" si="61"/>
        <v>6</v>
      </c>
      <c r="M978" s="4">
        <v>3.5203359659544051</v>
      </c>
      <c r="N978" s="4">
        <v>173.16521307639971</v>
      </c>
      <c r="O978" s="4">
        <v>330.40607896933062</v>
      </c>
      <c r="X978" s="22">
        <f t="shared" si="62"/>
        <v>300.13928331995811</v>
      </c>
      <c r="Y978" s="2">
        <f t="shared" si="63"/>
        <v>916.07891888087477</v>
      </c>
    </row>
    <row r="979" spans="1:25">
      <c r="A979" s="2" t="s">
        <v>9</v>
      </c>
      <c r="B979" s="2" t="s">
        <v>16</v>
      </c>
      <c r="C979" s="2">
        <v>8.7250750911920889</v>
      </c>
      <c r="D979" s="2">
        <v>152.18761219649059</v>
      </c>
      <c r="E979" s="2">
        <v>338.82407509180331</v>
      </c>
      <c r="J979" s="4">
        <v>1</v>
      </c>
      <c r="K979" s="4">
        <f t="shared" si="60"/>
        <v>5</v>
      </c>
      <c r="L979" s="4">
        <f t="shared" si="61"/>
        <v>5</v>
      </c>
      <c r="M979" s="4">
        <v>8.7250750911920889</v>
      </c>
      <c r="N979" s="4">
        <v>152.18761219649059</v>
      </c>
      <c r="O979" s="4">
        <v>338.82407509180331</v>
      </c>
      <c r="X979" s="22">
        <f t="shared" si="62"/>
        <v>333.90270232756302</v>
      </c>
      <c r="Y979" s="2">
        <f t="shared" si="63"/>
        <v>24.2199098846061</v>
      </c>
    </row>
    <row r="980" spans="1:25">
      <c r="A980" s="2" t="s">
        <v>8</v>
      </c>
      <c r="B980" s="2" t="s">
        <v>17</v>
      </c>
      <c r="C980" s="2">
        <v>3.6299640741570798</v>
      </c>
      <c r="D980" s="2">
        <v>93.450014237446297</v>
      </c>
      <c r="E980" s="2">
        <v>179.68877008206809</v>
      </c>
      <c r="J980" s="4">
        <v>1</v>
      </c>
      <c r="K980" s="4">
        <f t="shared" si="60"/>
        <v>4</v>
      </c>
      <c r="L980" s="4">
        <f t="shared" si="61"/>
        <v>6</v>
      </c>
      <c r="M980" s="4">
        <v>3.6299640741570798</v>
      </c>
      <c r="N980" s="4">
        <v>93.450014237446297</v>
      </c>
      <c r="O980" s="4">
        <v>179.68877008206809</v>
      </c>
      <c r="X980" s="22">
        <f t="shared" si="62"/>
        <v>184.43817443369372</v>
      </c>
      <c r="Y980" s="2">
        <f t="shared" si="63"/>
        <v>22.556841695240454</v>
      </c>
    </row>
    <row r="981" spans="1:25">
      <c r="A981" s="2" t="s">
        <v>8</v>
      </c>
      <c r="B981" s="2" t="s">
        <v>13</v>
      </c>
      <c r="C981" s="2">
        <v>9.1969314547952372</v>
      </c>
      <c r="D981" s="2">
        <v>126.00388345293069</v>
      </c>
      <c r="E981" s="2">
        <v>230.94375045796289</v>
      </c>
      <c r="J981" s="4">
        <v>1</v>
      </c>
      <c r="K981" s="4">
        <f t="shared" si="60"/>
        <v>4</v>
      </c>
      <c r="L981" s="4">
        <f t="shared" si="61"/>
        <v>2</v>
      </c>
      <c r="M981" s="4">
        <v>9.1969314547952372</v>
      </c>
      <c r="N981" s="4">
        <v>126.00388345293069</v>
      </c>
      <c r="O981" s="4">
        <v>230.94375045796289</v>
      </c>
      <c r="X981" s="22">
        <f t="shared" si="62"/>
        <v>301.92588696361003</v>
      </c>
      <c r="Y981" s="2">
        <f t="shared" si="63"/>
        <v>5038.4637029063233</v>
      </c>
    </row>
    <row r="982" spans="1:25">
      <c r="A982" s="2" t="s">
        <v>5</v>
      </c>
      <c r="B982" s="2" t="s">
        <v>13</v>
      </c>
      <c r="C982" s="2">
        <v>7.7856571323710551</v>
      </c>
      <c r="D982" s="2">
        <v>40.469427162751202</v>
      </c>
      <c r="E982" s="2">
        <v>188.63615993868149</v>
      </c>
      <c r="J982" s="4">
        <v>1</v>
      </c>
      <c r="K982" s="4">
        <f t="shared" si="60"/>
        <v>1</v>
      </c>
      <c r="L982" s="4">
        <f t="shared" si="61"/>
        <v>2</v>
      </c>
      <c r="M982" s="4">
        <v>7.7856571323710551</v>
      </c>
      <c r="N982" s="4">
        <v>40.469427162751202</v>
      </c>
      <c r="O982" s="4">
        <v>188.63615993868149</v>
      </c>
      <c r="X982" s="22">
        <f t="shared" si="62"/>
        <v>159.55459293551669</v>
      </c>
      <c r="Y982" s="2">
        <f t="shared" si="63"/>
        <v>845.73753935956324</v>
      </c>
    </row>
    <row r="983" spans="1:25">
      <c r="A983" s="2" t="s">
        <v>10</v>
      </c>
      <c r="B983" s="2" t="s">
        <v>13</v>
      </c>
      <c r="C983" s="2">
        <v>8.2441609915729472</v>
      </c>
      <c r="D983" s="2">
        <v>137.99262932023251</v>
      </c>
      <c r="E983" s="2">
        <v>277.3526634331331</v>
      </c>
      <c r="J983" s="4">
        <v>1</v>
      </c>
      <c r="K983" s="4">
        <f t="shared" si="60"/>
        <v>6</v>
      </c>
      <c r="L983" s="4">
        <f t="shared" si="61"/>
        <v>2</v>
      </c>
      <c r="M983" s="4">
        <v>8.2441609915729472</v>
      </c>
      <c r="N983" s="4">
        <v>137.99262932023251</v>
      </c>
      <c r="O983" s="4">
        <v>277.3526634331331</v>
      </c>
      <c r="X983" s="22">
        <f t="shared" si="62"/>
        <v>306.59660394768207</v>
      </c>
      <c r="Y983" s="2">
        <f t="shared" si="63"/>
        <v>855.20805681847855</v>
      </c>
    </row>
    <row r="984" spans="1:25">
      <c r="A984" s="2" t="s">
        <v>6</v>
      </c>
      <c r="B984" s="2" t="s">
        <v>14</v>
      </c>
      <c r="C984" s="2">
        <v>1.16205900040409</v>
      </c>
      <c r="D984" s="2">
        <v>44.058118590463337</v>
      </c>
      <c r="E984" s="2">
        <v>77.729350336824055</v>
      </c>
      <c r="J984" s="4">
        <v>1</v>
      </c>
      <c r="K984" s="4">
        <f t="shared" si="60"/>
        <v>3</v>
      </c>
      <c r="L984" s="4">
        <f t="shared" si="61"/>
        <v>3</v>
      </c>
      <c r="M984" s="4">
        <v>1.16205900040409</v>
      </c>
      <c r="N984" s="4">
        <v>44.058118590463337</v>
      </c>
      <c r="O984" s="4">
        <v>77.729350336824055</v>
      </c>
      <c r="X984" s="22">
        <f t="shared" si="62"/>
        <v>81.770982097121674</v>
      </c>
      <c r="Y984" s="2">
        <f t="shared" si="63"/>
        <v>16.334787285846431</v>
      </c>
    </row>
    <row r="985" spans="1:25">
      <c r="A985" s="2" t="s">
        <v>9</v>
      </c>
      <c r="B985" s="2" t="s">
        <v>17</v>
      </c>
      <c r="C985" s="2">
        <v>9.6652932136662333</v>
      </c>
      <c r="D985" s="2">
        <v>141.8504221969298</v>
      </c>
      <c r="E985" s="2">
        <v>335.3096465475063</v>
      </c>
      <c r="J985" s="4">
        <v>1</v>
      </c>
      <c r="K985" s="4">
        <f t="shared" si="60"/>
        <v>5</v>
      </c>
      <c r="L985" s="4">
        <f t="shared" si="61"/>
        <v>6</v>
      </c>
      <c r="M985" s="4">
        <v>9.6652932136662333</v>
      </c>
      <c r="N985" s="4">
        <v>141.8504221969298</v>
      </c>
      <c r="O985" s="4">
        <v>335.3096465475063</v>
      </c>
      <c r="X985" s="22">
        <f t="shared" si="62"/>
        <v>329.97956685627622</v>
      </c>
      <c r="Y985" s="2">
        <f t="shared" si="63"/>
        <v>28.409749514863371</v>
      </c>
    </row>
    <row r="986" spans="1:25">
      <c r="A986" s="2" t="s">
        <v>10</v>
      </c>
      <c r="B986" s="2" t="s">
        <v>16</v>
      </c>
      <c r="C986" s="2">
        <v>7.5400389286329093</v>
      </c>
      <c r="D986" s="2">
        <v>53.623650543254037</v>
      </c>
      <c r="E986" s="2">
        <v>158.80021116714559</v>
      </c>
      <c r="J986" s="4">
        <v>1</v>
      </c>
      <c r="K986" s="4">
        <f t="shared" si="60"/>
        <v>6</v>
      </c>
      <c r="L986" s="4">
        <f t="shared" si="61"/>
        <v>5</v>
      </c>
      <c r="M986" s="4">
        <v>7.5400389286329093</v>
      </c>
      <c r="N986" s="4">
        <v>53.623650543254037</v>
      </c>
      <c r="O986" s="4">
        <v>158.80021116714559</v>
      </c>
      <c r="X986" s="22">
        <f t="shared" si="62"/>
        <v>172.12826236519288</v>
      </c>
      <c r="Y986" s="2">
        <f t="shared" si="63"/>
        <v>177.63694873776981</v>
      </c>
    </row>
    <row r="987" spans="1:25">
      <c r="A987" s="2" t="s">
        <v>9</v>
      </c>
      <c r="B987" s="2" t="s">
        <v>16</v>
      </c>
      <c r="C987" s="2">
        <v>3.7427598584752002</v>
      </c>
      <c r="D987" s="2">
        <v>32.334747028541798</v>
      </c>
      <c r="E987" s="2">
        <v>110.7024554439845</v>
      </c>
      <c r="J987" s="4">
        <v>1</v>
      </c>
      <c r="K987" s="4">
        <f t="shared" si="60"/>
        <v>5</v>
      </c>
      <c r="L987" s="4">
        <f t="shared" si="61"/>
        <v>5</v>
      </c>
      <c r="M987" s="4">
        <v>3.7427598584752002</v>
      </c>
      <c r="N987" s="4">
        <v>32.334747028541798</v>
      </c>
      <c r="O987" s="4">
        <v>110.7024554439845</v>
      </c>
      <c r="X987" s="22">
        <f t="shared" si="62"/>
        <v>94.436928832902481</v>
      </c>
      <c r="Y987" s="2">
        <f t="shared" si="63"/>
        <v>264.56735593581743</v>
      </c>
    </row>
    <row r="988" spans="1:25">
      <c r="A988" s="2" t="s">
        <v>9</v>
      </c>
      <c r="B988" s="2" t="s">
        <v>15</v>
      </c>
      <c r="C988" s="2">
        <v>8.4645519837296224</v>
      </c>
      <c r="D988" s="2">
        <v>41.404053127161923</v>
      </c>
      <c r="E988" s="2">
        <v>150.78559796746191</v>
      </c>
      <c r="J988" s="4">
        <v>1</v>
      </c>
      <c r="K988" s="4">
        <f t="shared" si="60"/>
        <v>5</v>
      </c>
      <c r="L988" s="4">
        <f t="shared" si="61"/>
        <v>4</v>
      </c>
      <c r="M988" s="4">
        <v>8.4645519837296224</v>
      </c>
      <c r="N988" s="4">
        <v>41.404053127161923</v>
      </c>
      <c r="O988" s="4">
        <v>150.78559796746191</v>
      </c>
      <c r="X988" s="22">
        <f t="shared" si="62"/>
        <v>166.19918199847206</v>
      </c>
      <c r="Y988" s="2">
        <f t="shared" si="63"/>
        <v>237.57857268101097</v>
      </c>
    </row>
    <row r="989" spans="1:25">
      <c r="A989" s="2" t="s">
        <v>9</v>
      </c>
      <c r="B989" s="2" t="s">
        <v>15</v>
      </c>
      <c r="C989" s="2">
        <v>3.53369078573437</v>
      </c>
      <c r="D989" s="2">
        <v>10.378505691623349</v>
      </c>
      <c r="E989" s="2">
        <v>80.637808772271256</v>
      </c>
      <c r="J989" s="4">
        <v>1</v>
      </c>
      <c r="K989" s="4">
        <f t="shared" si="60"/>
        <v>5</v>
      </c>
      <c r="L989" s="4">
        <f t="shared" si="61"/>
        <v>4</v>
      </c>
      <c r="M989" s="4">
        <v>3.53369078573437</v>
      </c>
      <c r="N989" s="4">
        <v>10.378505691623349</v>
      </c>
      <c r="O989" s="4">
        <v>80.637808772271256</v>
      </c>
      <c r="X989" s="22">
        <f t="shared" si="62"/>
        <v>59.372593119830896</v>
      </c>
      <c r="Y989" s="2">
        <f t="shared" si="63"/>
        <v>452.2093967447945</v>
      </c>
    </row>
    <row r="990" spans="1:25">
      <c r="A990" s="2" t="s">
        <v>10</v>
      </c>
      <c r="B990" s="2" t="s">
        <v>15</v>
      </c>
      <c r="C990" s="2">
        <v>8.8547845560951508</v>
      </c>
      <c r="D990" s="2">
        <v>146.56052739217071</v>
      </c>
      <c r="E990" s="2">
        <v>305.0842246972515</v>
      </c>
      <c r="J990" s="4">
        <v>1</v>
      </c>
      <c r="K990" s="4">
        <f t="shared" si="60"/>
        <v>6</v>
      </c>
      <c r="L990" s="4">
        <f t="shared" si="61"/>
        <v>4</v>
      </c>
      <c r="M990" s="4">
        <v>8.8547845560951508</v>
      </c>
      <c r="N990" s="4">
        <v>146.56052739217071</v>
      </c>
      <c r="O990" s="4">
        <v>305.0842246972515</v>
      </c>
      <c r="X990" s="22">
        <f t="shared" si="62"/>
        <v>326.57028056816239</v>
      </c>
      <c r="Y990" s="2">
        <f t="shared" si="63"/>
        <v>461.65059688790427</v>
      </c>
    </row>
    <row r="991" spans="1:25">
      <c r="A991" s="2" t="s">
        <v>5</v>
      </c>
      <c r="B991" s="2" t="s">
        <v>13</v>
      </c>
      <c r="C991" s="2">
        <v>2.013223513707433</v>
      </c>
      <c r="D991" s="2">
        <v>149.156199321092</v>
      </c>
      <c r="E991" s="2">
        <v>213.97524678199639</v>
      </c>
      <c r="J991" s="4">
        <v>1</v>
      </c>
      <c r="K991" s="4">
        <f t="shared" si="60"/>
        <v>1</v>
      </c>
      <c r="L991" s="4">
        <f t="shared" si="61"/>
        <v>2</v>
      </c>
      <c r="M991" s="4">
        <v>2.013223513707433</v>
      </c>
      <c r="N991" s="4">
        <v>149.156199321092</v>
      </c>
      <c r="O991" s="4">
        <v>213.97524678199639</v>
      </c>
      <c r="X991" s="22">
        <f t="shared" si="62"/>
        <v>249.99004838987756</v>
      </c>
      <c r="Y991" s="2">
        <f t="shared" si="63"/>
        <v>1297.06593485504</v>
      </c>
    </row>
    <row r="992" spans="1:25">
      <c r="A992" s="2" t="s">
        <v>8</v>
      </c>
      <c r="B992" s="2" t="s">
        <v>16</v>
      </c>
      <c r="C992" s="2">
        <v>7.333173797147162</v>
      </c>
      <c r="D992" s="2">
        <v>107.83733648351929</v>
      </c>
      <c r="E992" s="2">
        <v>212.25703143963591</v>
      </c>
      <c r="J992" s="4">
        <v>1</v>
      </c>
      <c r="K992" s="4">
        <f t="shared" si="60"/>
        <v>4</v>
      </c>
      <c r="L992" s="4">
        <f t="shared" si="61"/>
        <v>5</v>
      </c>
      <c r="M992" s="4">
        <v>7.333173797147162</v>
      </c>
      <c r="N992" s="4">
        <v>107.83733648351929</v>
      </c>
      <c r="O992" s="4">
        <v>212.25703143963591</v>
      </c>
      <c r="X992" s="22">
        <f t="shared" si="62"/>
        <v>251.56042855331947</v>
      </c>
      <c r="Y992" s="2">
        <f t="shared" si="63"/>
        <v>1544.7570246759092</v>
      </c>
    </row>
    <row r="993" spans="1:26">
      <c r="A993" s="2" t="s">
        <v>8</v>
      </c>
      <c r="B993" s="2" t="s">
        <v>17</v>
      </c>
      <c r="C993" s="2">
        <v>5.8662862898041928</v>
      </c>
      <c r="D993" s="2">
        <v>40.658932200522898</v>
      </c>
      <c r="E993" s="2">
        <v>141.88980898452661</v>
      </c>
      <c r="J993" s="4">
        <v>1</v>
      </c>
      <c r="K993" s="4">
        <f t="shared" si="60"/>
        <v>4</v>
      </c>
      <c r="L993" s="4">
        <f t="shared" si="61"/>
        <v>6</v>
      </c>
      <c r="M993" s="4">
        <v>5.8662862898041928</v>
      </c>
      <c r="N993" s="4">
        <v>40.658932200522898</v>
      </c>
      <c r="O993" s="4">
        <v>141.88980898452661</v>
      </c>
      <c r="X993" s="22">
        <f t="shared" si="62"/>
        <v>133.52436031136384</v>
      </c>
      <c r="Y993" s="2">
        <f t="shared" si="63"/>
        <v>69.980731503320825</v>
      </c>
    </row>
    <row r="994" spans="1:26">
      <c r="A994" s="2" t="s">
        <v>5</v>
      </c>
      <c r="B994" s="2" t="s">
        <v>13</v>
      </c>
      <c r="C994" s="2">
        <v>1.868810231758967</v>
      </c>
      <c r="D994" s="2">
        <v>25.87532412703105</v>
      </c>
      <c r="E994" s="2">
        <v>70.952485219434323</v>
      </c>
      <c r="J994" s="4">
        <v>1</v>
      </c>
      <c r="K994" s="4">
        <f t="shared" si="60"/>
        <v>1</v>
      </c>
      <c r="L994" s="4">
        <f t="shared" si="61"/>
        <v>2</v>
      </c>
      <c r="M994" s="4">
        <v>1.868810231758967</v>
      </c>
      <c r="N994" s="4">
        <v>25.87532412703105</v>
      </c>
      <c r="O994" s="4">
        <v>70.952485219434323</v>
      </c>
      <c r="X994" s="22">
        <f t="shared" si="62"/>
        <v>65.004985339858052</v>
      </c>
      <c r="Y994" s="2">
        <f t="shared" si="63"/>
        <v>35.372754817559745</v>
      </c>
    </row>
    <row r="995" spans="1:26">
      <c r="A995" s="2" t="s">
        <v>9</v>
      </c>
      <c r="B995" s="2" t="s">
        <v>14</v>
      </c>
      <c r="C995" s="2">
        <v>3.1770444543295508</v>
      </c>
      <c r="D995" s="2">
        <v>13.63450362308453</v>
      </c>
      <c r="E995" s="2">
        <v>60.6137267804137</v>
      </c>
      <c r="J995" s="4">
        <v>1</v>
      </c>
      <c r="K995" s="4">
        <f t="shared" si="60"/>
        <v>5</v>
      </c>
      <c r="L995" s="4">
        <f t="shared" si="61"/>
        <v>3</v>
      </c>
      <c r="M995" s="4">
        <v>3.1770444543295508</v>
      </c>
      <c r="N995" s="4">
        <v>13.63450362308453</v>
      </c>
      <c r="O995" s="4">
        <v>60.6137267804137</v>
      </c>
      <c r="X995" s="22">
        <f t="shared" si="62"/>
        <v>59.958664231792014</v>
      </c>
      <c r="Y995" s="2">
        <f t="shared" si="63"/>
        <v>0.4291069426067386</v>
      </c>
    </row>
    <row r="996" spans="1:26">
      <c r="A996" s="2" t="s">
        <v>6</v>
      </c>
      <c r="B996" s="2" t="s">
        <v>15</v>
      </c>
      <c r="C996" s="2">
        <v>1.1116363264958331</v>
      </c>
      <c r="D996" s="2">
        <v>41.492153623391943</v>
      </c>
      <c r="E996" s="2">
        <v>87.147440720057247</v>
      </c>
      <c r="J996" s="4">
        <v>1</v>
      </c>
      <c r="K996" s="4">
        <f t="shared" si="60"/>
        <v>3</v>
      </c>
      <c r="L996" s="4">
        <f t="shared" si="61"/>
        <v>4</v>
      </c>
      <c r="M996" s="4">
        <v>1.1116363264958331</v>
      </c>
      <c r="N996" s="4">
        <v>41.492153623391943</v>
      </c>
      <c r="O996" s="4">
        <v>87.147440720057247</v>
      </c>
      <c r="X996" s="22">
        <f t="shared" si="62"/>
        <v>77.197621144738434</v>
      </c>
      <c r="Y996" s="2">
        <f t="shared" si="63"/>
        <v>98.998909581397442</v>
      </c>
    </row>
    <row r="997" spans="1:26">
      <c r="A997" s="2" t="s">
        <v>11</v>
      </c>
      <c r="B997" s="2" t="s">
        <v>13</v>
      </c>
      <c r="C997" s="2">
        <v>5.2189116891805529</v>
      </c>
      <c r="D997" s="2">
        <v>179.2625516467979</v>
      </c>
      <c r="E997" s="2">
        <v>324.56830854510753</v>
      </c>
      <c r="J997" s="4">
        <v>1</v>
      </c>
      <c r="K997" s="4">
        <f t="shared" si="60"/>
        <v>7</v>
      </c>
      <c r="L997" s="4">
        <f t="shared" si="61"/>
        <v>2</v>
      </c>
      <c r="M997" s="4">
        <v>5.2189116891805529</v>
      </c>
      <c r="N997" s="4">
        <v>179.2625516467979</v>
      </c>
      <c r="O997" s="4">
        <v>324.56830854510753</v>
      </c>
      <c r="X997" s="22">
        <f t="shared" si="62"/>
        <v>329.9673703179356</v>
      </c>
      <c r="Y997" s="2">
        <f t="shared" si="63"/>
        <v>29.149868026813454</v>
      </c>
    </row>
    <row r="998" spans="1:26">
      <c r="A998" s="2" t="s">
        <v>10</v>
      </c>
      <c r="B998" s="2" t="s">
        <v>13</v>
      </c>
      <c r="C998" s="2">
        <v>3.7113873468400032</v>
      </c>
      <c r="D998" s="2">
        <v>55.891999923319538</v>
      </c>
      <c r="E998" s="2">
        <v>138.39085658172669</v>
      </c>
      <c r="J998" s="4">
        <v>1</v>
      </c>
      <c r="K998" s="4">
        <f t="shared" si="60"/>
        <v>6</v>
      </c>
      <c r="L998" s="4">
        <f t="shared" si="61"/>
        <v>2</v>
      </c>
      <c r="M998" s="4">
        <v>3.7113873468400032</v>
      </c>
      <c r="N998" s="4">
        <v>55.891999923319538</v>
      </c>
      <c r="O998" s="4">
        <v>138.39085658172669</v>
      </c>
      <c r="X998" s="22">
        <f t="shared" si="62"/>
        <v>128.7698861865378</v>
      </c>
      <c r="Y998" s="2">
        <f t="shared" si="63"/>
        <v>92.563071345101093</v>
      </c>
    </row>
    <row r="999" spans="1:26">
      <c r="A999" s="2" t="s">
        <v>11</v>
      </c>
      <c r="B999" s="2" t="s">
        <v>14</v>
      </c>
      <c r="C999" s="2">
        <v>6.3852173586798298</v>
      </c>
      <c r="D999" s="2">
        <v>77.311552171270975</v>
      </c>
      <c r="E999" s="2">
        <v>239.88742585415531</v>
      </c>
      <c r="J999" s="4">
        <v>1</v>
      </c>
      <c r="K999" s="4">
        <f t="shared" si="60"/>
        <v>7</v>
      </c>
      <c r="L999" s="4">
        <f t="shared" si="61"/>
        <v>3</v>
      </c>
      <c r="M999" s="4">
        <v>6.3852173586798298</v>
      </c>
      <c r="N999" s="4">
        <v>77.311552171270975</v>
      </c>
      <c r="O999" s="4">
        <v>239.88742585415531</v>
      </c>
      <c r="X999" s="22">
        <f t="shared" si="62"/>
        <v>192.68177862638294</v>
      </c>
      <c r="Y999" s="2">
        <f t="shared" si="63"/>
        <v>2228.3731301928938</v>
      </c>
    </row>
    <row r="1000" spans="1:26">
      <c r="A1000" s="2" t="s">
        <v>5</v>
      </c>
      <c r="B1000" s="2" t="s">
        <v>12</v>
      </c>
      <c r="C1000" s="2">
        <v>3.6751402693775548</v>
      </c>
      <c r="D1000" s="2">
        <v>30.015642051453309</v>
      </c>
      <c r="E1000" s="2">
        <v>60.905982354727328</v>
      </c>
      <c r="J1000" s="4">
        <v>1</v>
      </c>
      <c r="K1000" s="4">
        <f t="shared" si="60"/>
        <v>1</v>
      </c>
      <c r="L1000" s="4">
        <f t="shared" si="61"/>
        <v>1</v>
      </c>
      <c r="M1000" s="4">
        <v>3.6751402693775548</v>
      </c>
      <c r="N1000" s="4">
        <v>30.015642051453309</v>
      </c>
      <c r="O1000" s="4">
        <v>60.905982354727328</v>
      </c>
      <c r="X1000" s="22">
        <f t="shared" si="62"/>
        <v>93.540630938357424</v>
      </c>
      <c r="Y1000" s="2">
        <f t="shared" si="63"/>
        <v>1065.0202881770299</v>
      </c>
    </row>
    <row r="1001" spans="1:26">
      <c r="A1001" s="2" t="s">
        <v>6</v>
      </c>
      <c r="B1001" s="2" t="s">
        <v>16</v>
      </c>
      <c r="C1001" s="2">
        <v>3.6992720035628621</v>
      </c>
      <c r="D1001" s="2">
        <v>52.248647902152364</v>
      </c>
      <c r="E1001" s="2">
        <v>122.78811189020929</v>
      </c>
      <c r="J1001" s="4">
        <v>1</v>
      </c>
      <c r="K1001" s="4">
        <f t="shared" si="60"/>
        <v>3</v>
      </c>
      <c r="L1001" s="4">
        <f t="shared" si="61"/>
        <v>5</v>
      </c>
      <c r="M1001" s="4">
        <v>3.6992720035628621</v>
      </c>
      <c r="N1001" s="4">
        <v>52.248647902152364</v>
      </c>
      <c r="O1001" s="4">
        <v>122.78811189020929</v>
      </c>
      <c r="X1001" s="22">
        <f t="shared" si="62"/>
        <v>124.90832403289585</v>
      </c>
      <c r="Y1001" s="2">
        <f t="shared" si="63"/>
        <v>4.4952995299955107</v>
      </c>
    </row>
    <row r="1002" spans="1:26" ht="15" thickBot="1">
      <c r="A1002" s="2" t="s">
        <v>10</v>
      </c>
      <c r="B1002" s="2" t="s">
        <v>17</v>
      </c>
      <c r="C1002" s="2">
        <v>7.6887387885844296</v>
      </c>
      <c r="D1002" s="2">
        <v>108.652668448239</v>
      </c>
      <c r="E1002" s="2">
        <v>281.28646238468087</v>
      </c>
      <c r="J1002" s="4">
        <v>1</v>
      </c>
      <c r="K1002" s="4">
        <f t="shared" si="60"/>
        <v>6</v>
      </c>
      <c r="L1002" s="4">
        <f t="shared" si="61"/>
        <v>6</v>
      </c>
      <c r="M1002" s="4">
        <v>7.6887387885844296</v>
      </c>
      <c r="N1002" s="4">
        <v>108.652668448239</v>
      </c>
      <c r="O1002" s="4">
        <v>281.28646238468087</v>
      </c>
      <c r="X1002" s="23">
        <f t="shared" si="62"/>
        <v>255.59838676597732</v>
      </c>
      <c r="Y1002" s="24">
        <f t="shared" si="63"/>
        <v>659.87722899223184</v>
      </c>
    </row>
    <row r="1003" spans="1:26">
      <c r="X1003" s="25" t="s">
        <v>29</v>
      </c>
      <c r="Y1003" s="26">
        <f>AVERAGE(Y3:Y1002)</f>
        <v>1204.2189583933555</v>
      </c>
    </row>
    <row r="1004" spans="1:26" ht="15" thickBot="1">
      <c r="X1004" s="27" t="s">
        <v>28</v>
      </c>
      <c r="Y1004" s="28">
        <f>SQRT(Y1003)</f>
        <v>34.701858140355476</v>
      </c>
    </row>
    <row r="1005" spans="1:26">
      <c r="X1005" s="30" t="s">
        <v>36</v>
      </c>
      <c r="Y1005" s="31"/>
      <c r="Z1005" s="32"/>
    </row>
    <row r="1006" spans="1:26">
      <c r="X1006" s="33"/>
      <c r="Y1006" s="34"/>
      <c r="Z1006" s="35"/>
    </row>
    <row r="1007" spans="1:26">
      <c r="X1007" s="33"/>
      <c r="Y1007" s="34"/>
      <c r="Z1007" s="35"/>
    </row>
    <row r="1008" spans="1:26">
      <c r="X1008" s="33"/>
      <c r="Y1008" s="34"/>
      <c r="Z1008" s="35"/>
    </row>
    <row r="1009" spans="24:26" ht="15" thickBot="1">
      <c r="X1009" s="36"/>
      <c r="Y1009" s="37"/>
      <c r="Z1009" s="38"/>
    </row>
  </sheetData>
  <mergeCells count="6">
    <mergeCell ref="A1:E1"/>
    <mergeCell ref="X1005:Z1009"/>
    <mergeCell ref="F1:I1"/>
    <mergeCell ref="J1:O1"/>
    <mergeCell ref="Q1:V1"/>
    <mergeCell ref="X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Hoang Anh MH34</cp:lastModifiedBy>
  <dcterms:created xsi:type="dcterms:W3CDTF">2025-11-11T14:36:56Z</dcterms:created>
  <dcterms:modified xsi:type="dcterms:W3CDTF">2025-11-12T02:56:46Z</dcterms:modified>
</cp:coreProperties>
</file>